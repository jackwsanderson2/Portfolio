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wba-my.sharepoint.com/personal/jack_sanderson1_boots_com/Documents/Documents/Personal/"/>
    </mc:Choice>
  </mc:AlternateContent>
  <xr:revisionPtr revIDLastSave="750" documentId="8_{7AAF461B-F78A-4213-A7C8-537ACA40805E}" xr6:coauthVersionLast="47" xr6:coauthVersionMax="47" xr10:uidLastSave="{63F2D0C5-D28C-49DB-A666-738080B505EF}"/>
  <bookViews>
    <workbookView xWindow="-110" yWindow="-110" windowWidth="19420" windowHeight="11500" tabRatio="904" xr2:uid="{E14C94EB-5A2F-4C8D-A09B-69660B5B36F3}"/>
  </bookViews>
  <sheets>
    <sheet name="summary" sheetId="16" r:id="rId1"/>
    <sheet name="actuals" sheetId="3" r:id="rId2"/>
    <sheet name="input forecasts" sheetId="1" r:id="rId3"/>
    <sheet name="fact forecasts" sheetId="2" r:id="rId4"/>
    <sheet name="input rates" sheetId="5" r:id="rId5"/>
    <sheet name="dim rates" sheetId="8" r:id="rId6"/>
    <sheet name="dim dates" sheetId="4" r:id="rId7"/>
    <sheet name="dim employees" sheetId="7" r:id="rId8"/>
    <sheet name="dim tasks" sheetId="6" r:id="rId9"/>
  </sheets>
  <definedNames>
    <definedName name="ExternalData_1" localSheetId="5" hidden="1">'dim rates'!$A$2:$D$62</definedName>
    <definedName name="ExternalData_1" localSheetId="3" hidden="1">'fact forecasts'!$A$2:$M$52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7" i="16" l="1"/>
  <c r="O17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5" i="16"/>
  <c r="F17" i="16"/>
  <c r="G17" i="16"/>
  <c r="H17" i="16"/>
  <c r="G1" i="16"/>
  <c r="C6" i="16"/>
  <c r="C7" i="16"/>
  <c r="C8" i="16"/>
  <c r="C9" i="16"/>
  <c r="C10" i="16"/>
  <c r="C11" i="16"/>
  <c r="C12" i="16"/>
  <c r="C13" i="16"/>
  <c r="C14" i="16"/>
  <c r="C15" i="16"/>
  <c r="C16" i="16"/>
  <c r="C5" i="16"/>
  <c r="G6" i="16"/>
  <c r="M6" i="16" s="1"/>
  <c r="H6" i="16"/>
  <c r="N6" i="16" s="1"/>
  <c r="Q6" i="16" s="1"/>
  <c r="H7" i="16"/>
  <c r="G9" i="16"/>
  <c r="H9" i="16"/>
  <c r="G11" i="16"/>
  <c r="H11" i="16"/>
  <c r="N11" i="16" s="1"/>
  <c r="G12" i="16"/>
  <c r="M12" i="16" s="1"/>
  <c r="H12" i="16"/>
  <c r="G13" i="16"/>
  <c r="H13" i="16"/>
  <c r="G14" i="16"/>
  <c r="M14" i="16" s="1"/>
  <c r="P14" i="16" s="1"/>
  <c r="H14" i="16"/>
  <c r="G15" i="16"/>
  <c r="H15" i="16"/>
  <c r="G16" i="16"/>
  <c r="H16" i="16"/>
  <c r="H5" i="16"/>
  <c r="G5" i="16"/>
  <c r="F6" i="16"/>
  <c r="F7" i="16"/>
  <c r="L7" i="16" s="1"/>
  <c r="O7" i="16" s="1"/>
  <c r="F8" i="16"/>
  <c r="F9" i="16"/>
  <c r="F10" i="16"/>
  <c r="F11" i="16"/>
  <c r="F12" i="16"/>
  <c r="F13" i="16"/>
  <c r="F14" i="16"/>
  <c r="F15" i="16"/>
  <c r="F16" i="16"/>
  <c r="F5" i="1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H8" i="16" s="1"/>
  <c r="K20" i="3"/>
  <c r="K21" i="3"/>
  <c r="K22" i="3"/>
  <c r="K23" i="3"/>
  <c r="K24" i="3"/>
  <c r="K25" i="3"/>
  <c r="H10" i="16" s="1"/>
  <c r="K26" i="3"/>
  <c r="K27" i="3"/>
  <c r="K28" i="3"/>
  <c r="K29" i="3"/>
  <c r="K30" i="3"/>
  <c r="J3" i="3"/>
  <c r="J4" i="3"/>
  <c r="J5" i="3"/>
  <c r="J6" i="3"/>
  <c r="I7" i="1" s="1"/>
  <c r="J7" i="3"/>
  <c r="J8" i="3"/>
  <c r="J9" i="3"/>
  <c r="J10" i="3"/>
  <c r="J11" i="3"/>
  <c r="G7" i="16" s="1"/>
  <c r="J12" i="3"/>
  <c r="J13" i="3"/>
  <c r="J14" i="3"/>
  <c r="J15" i="3"/>
  <c r="J16" i="3"/>
  <c r="J17" i="3"/>
  <c r="J18" i="3"/>
  <c r="J19" i="3"/>
  <c r="G8" i="16" s="1"/>
  <c r="J20" i="3"/>
  <c r="J21" i="3"/>
  <c r="J22" i="3"/>
  <c r="J23" i="3"/>
  <c r="J24" i="3"/>
  <c r="I19" i="1" s="1"/>
  <c r="J25" i="3"/>
  <c r="G10" i="16" s="1"/>
  <c r="J26" i="3"/>
  <c r="J27" i="3"/>
  <c r="J28" i="3"/>
  <c r="J29" i="3"/>
  <c r="J30" i="3"/>
  <c r="E6" i="16"/>
  <c r="E7" i="16"/>
  <c r="E8" i="16"/>
  <c r="E9" i="16"/>
  <c r="E10" i="16"/>
  <c r="E11" i="16"/>
  <c r="E12" i="16"/>
  <c r="E13" i="16"/>
  <c r="E14" i="16"/>
  <c r="E15" i="16"/>
  <c r="E16" i="16"/>
  <c r="E5" i="16"/>
  <c r="D6" i="16"/>
  <c r="D7" i="16"/>
  <c r="D8" i="16"/>
  <c r="D9" i="16"/>
  <c r="D10" i="16"/>
  <c r="D11" i="16"/>
  <c r="D12" i="16"/>
  <c r="D13" i="16"/>
  <c r="D14" i="16"/>
  <c r="D15" i="16"/>
  <c r="D16" i="16"/>
  <c r="D5" i="16"/>
  <c r="F5" i="1"/>
  <c r="F6" i="1"/>
  <c r="F7" i="1"/>
  <c r="F8" i="1"/>
  <c r="F19" i="1"/>
  <c r="F20" i="1"/>
  <c r="F22" i="1"/>
  <c r="F23" i="1"/>
  <c r="I5" i="1"/>
  <c r="I6" i="1"/>
  <c r="I21" i="1"/>
  <c r="I27" i="1"/>
  <c r="I28" i="1"/>
  <c r="I29" i="1"/>
  <c r="I30" i="1"/>
  <c r="I3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D5" i="1"/>
  <c r="G5" i="1" s="1"/>
  <c r="D6" i="1"/>
  <c r="H6" i="1" s="1"/>
  <c r="D7" i="1"/>
  <c r="D8" i="1"/>
  <c r="D9" i="1"/>
  <c r="H9" i="1" s="1"/>
  <c r="D10" i="1"/>
  <c r="F10" i="1" s="1"/>
  <c r="D11" i="1"/>
  <c r="F11" i="1" s="1"/>
  <c r="D12" i="1"/>
  <c r="J12" i="1" s="1"/>
  <c r="D13" i="1"/>
  <c r="F13" i="1" s="1"/>
  <c r="D14" i="1"/>
  <c r="H14" i="1" s="1"/>
  <c r="D15" i="1"/>
  <c r="H15" i="1" s="1"/>
  <c r="D16" i="1"/>
  <c r="D17" i="1"/>
  <c r="D18" i="1"/>
  <c r="G18" i="1" s="1"/>
  <c r="D19" i="1"/>
  <c r="G19" i="1" s="1"/>
  <c r="D20" i="1"/>
  <c r="H20" i="1" s="1"/>
  <c r="D21" i="1"/>
  <c r="J21" i="1" s="1"/>
  <c r="D22" i="1"/>
  <c r="D23" i="1"/>
  <c r="D24" i="1"/>
  <c r="F24" i="1" s="1"/>
  <c r="D25" i="1"/>
  <c r="F25" i="1" s="1"/>
  <c r="D26" i="1"/>
  <c r="J26" i="1" s="1"/>
  <c r="D27" i="1"/>
  <c r="F27" i="1" s="1"/>
  <c r="D28" i="1"/>
  <c r="H28" i="1" s="1"/>
  <c r="D29" i="1"/>
  <c r="H29" i="1" s="1"/>
  <c r="D30" i="1"/>
  <c r="J30" i="1" s="1"/>
  <c r="D31" i="1"/>
  <c r="J31" i="1" s="1"/>
  <c r="D32" i="1"/>
  <c r="G32" i="1" s="1"/>
  <c r="D33" i="1"/>
  <c r="G33" i="1" s="1"/>
  <c r="D34" i="1"/>
  <c r="H34" i="1" s="1"/>
  <c r="D35" i="1"/>
  <c r="J35" i="1" s="1"/>
  <c r="D36" i="1"/>
  <c r="I36" i="1" s="1"/>
  <c r="D37" i="1"/>
  <c r="H37" i="1" s="1"/>
  <c r="D38" i="1"/>
  <c r="F38" i="1" s="1"/>
  <c r="D39" i="1"/>
  <c r="F39" i="1" s="1"/>
  <c r="D4" i="1"/>
  <c r="G4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O2" i="1"/>
  <c r="Q2" i="1"/>
  <c r="R2" i="1"/>
  <c r="S2" i="1"/>
  <c r="T2" i="1"/>
  <c r="V2" i="1"/>
  <c r="W2" i="1"/>
  <c r="X2" i="1"/>
  <c r="Y2" i="1"/>
  <c r="N2" i="1"/>
  <c r="I4" i="5"/>
  <c r="J4" i="5" s="1"/>
  <c r="I5" i="5"/>
  <c r="O5" i="5" s="1"/>
  <c r="P5" i="5" s="1"/>
  <c r="I6" i="5"/>
  <c r="O6" i="5" s="1"/>
  <c r="P6" i="5" s="1"/>
  <c r="I7" i="5"/>
  <c r="O7" i="5" s="1"/>
  <c r="P7" i="5" s="1"/>
  <c r="I8" i="5"/>
  <c r="J8" i="5" s="1"/>
  <c r="I9" i="5"/>
  <c r="O9" i="5" s="1"/>
  <c r="P9" i="5" s="1"/>
  <c r="I10" i="5"/>
  <c r="O10" i="5" s="1"/>
  <c r="P10" i="5" s="1"/>
  <c r="I11" i="5"/>
  <c r="O11" i="5" s="1"/>
  <c r="P11" i="5" s="1"/>
  <c r="I12" i="5"/>
  <c r="J12" i="5" s="1"/>
  <c r="I3" i="5"/>
  <c r="J3" i="5" s="1"/>
  <c r="J11" i="5"/>
  <c r="D4" i="5"/>
  <c r="D5" i="5"/>
  <c r="D6" i="5"/>
  <c r="D7" i="5"/>
  <c r="D8" i="5"/>
  <c r="D9" i="5"/>
  <c r="D10" i="5"/>
  <c r="D11" i="5"/>
  <c r="D12" i="5"/>
  <c r="D3" i="5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Z2" i="1" s="1"/>
  <c r="L8" i="16" l="1"/>
  <c r="O8" i="16" s="1"/>
  <c r="P12" i="16"/>
  <c r="Q11" i="16"/>
  <c r="P6" i="16"/>
  <c r="M15" i="16"/>
  <c r="P15" i="16" s="1"/>
  <c r="N16" i="16"/>
  <c r="Q16" i="16" s="1"/>
  <c r="N15" i="16"/>
  <c r="Q15" i="16" s="1"/>
  <c r="N14" i="16"/>
  <c r="Q14" i="16" s="1"/>
  <c r="L14" i="16"/>
  <c r="O14" i="16" s="1"/>
  <c r="L13" i="16"/>
  <c r="O13" i="16" s="1"/>
  <c r="M10" i="16"/>
  <c r="P10" i="16" s="1"/>
  <c r="M7" i="16"/>
  <c r="P7" i="16" s="1"/>
  <c r="L12" i="16"/>
  <c r="O12" i="16" s="1"/>
  <c r="M11" i="16"/>
  <c r="P11" i="16" s="1"/>
  <c r="N9" i="16"/>
  <c r="Q9" i="16" s="1"/>
  <c r="M9" i="16"/>
  <c r="P9" i="16" s="1"/>
  <c r="L11" i="16"/>
  <c r="O11" i="16" s="1"/>
  <c r="L10" i="16"/>
  <c r="O10" i="16" s="1"/>
  <c r="M13" i="16"/>
  <c r="P13" i="16" s="1"/>
  <c r="L9" i="16"/>
  <c r="O9" i="16" s="1"/>
  <c r="M8" i="16"/>
  <c r="P8" i="16" s="1"/>
  <c r="L6" i="16"/>
  <c r="M5" i="16"/>
  <c r="N5" i="16"/>
  <c r="Q5" i="16" s="1"/>
  <c r="L5" i="16"/>
  <c r="O5" i="16" s="1"/>
  <c r="L16" i="16"/>
  <c r="O16" i="16" s="1"/>
  <c r="M16" i="16"/>
  <c r="P16" i="16" s="1"/>
  <c r="L15" i="16"/>
  <c r="O15" i="16" s="1"/>
  <c r="N13" i="16"/>
  <c r="Q13" i="16" s="1"/>
  <c r="N10" i="16"/>
  <c r="Q10" i="16" s="1"/>
  <c r="N12" i="16"/>
  <c r="Q12" i="16" s="1"/>
  <c r="N8" i="16"/>
  <c r="Q8" i="16" s="1"/>
  <c r="N7" i="16"/>
  <c r="Q7" i="16" s="1"/>
  <c r="G3" i="16"/>
  <c r="K3" i="16"/>
  <c r="H3" i="16"/>
  <c r="F3" i="16"/>
  <c r="D3" i="16"/>
  <c r="C3" i="16"/>
  <c r="E3" i="16"/>
  <c r="I3" i="16"/>
  <c r="J3" i="16"/>
  <c r="J7" i="1"/>
  <c r="J17" i="1"/>
  <c r="J16" i="1"/>
  <c r="I22" i="1"/>
  <c r="I23" i="1"/>
  <c r="I8" i="1"/>
  <c r="J27" i="1"/>
  <c r="G30" i="1"/>
  <c r="I20" i="1"/>
  <c r="J15" i="1"/>
  <c r="F21" i="1"/>
  <c r="K21" i="1" s="1"/>
  <c r="G29" i="1"/>
  <c r="L29" i="1" s="1"/>
  <c r="F29" i="1"/>
  <c r="K29" i="1" s="1"/>
  <c r="H27" i="1"/>
  <c r="G27" i="1"/>
  <c r="H13" i="1"/>
  <c r="I17" i="1"/>
  <c r="F37" i="1"/>
  <c r="K37" i="1" s="1"/>
  <c r="F18" i="1"/>
  <c r="G17" i="1"/>
  <c r="L17" i="1" s="1"/>
  <c r="F31" i="1"/>
  <c r="K31" i="1" s="1"/>
  <c r="F30" i="1"/>
  <c r="J28" i="1"/>
  <c r="G31" i="1"/>
  <c r="L31" i="1" s="1"/>
  <c r="I35" i="1"/>
  <c r="I16" i="1"/>
  <c r="F36" i="1"/>
  <c r="K36" i="1" s="1"/>
  <c r="F17" i="1"/>
  <c r="K17" i="1" s="1"/>
  <c r="G16" i="1"/>
  <c r="L16" i="1" s="1"/>
  <c r="F32" i="1"/>
  <c r="K32" i="1" s="1"/>
  <c r="J29" i="1"/>
  <c r="J14" i="1"/>
  <c r="I18" i="1"/>
  <c r="I34" i="1"/>
  <c r="I15" i="1"/>
  <c r="F35" i="1"/>
  <c r="F16" i="1"/>
  <c r="G15" i="1"/>
  <c r="L15" i="1" s="1"/>
  <c r="J13" i="1"/>
  <c r="I33" i="1"/>
  <c r="I14" i="1"/>
  <c r="F34" i="1"/>
  <c r="K34" i="1" s="1"/>
  <c r="F15" i="1"/>
  <c r="K15" i="1" s="1"/>
  <c r="G14" i="1"/>
  <c r="L14" i="1" s="1"/>
  <c r="G28" i="1"/>
  <c r="L28" i="1" s="1"/>
  <c r="I32" i="1"/>
  <c r="I13" i="1"/>
  <c r="F33" i="1"/>
  <c r="K33" i="1" s="1"/>
  <c r="F9" i="1"/>
  <c r="K9" i="1" s="1"/>
  <c r="G13" i="1"/>
  <c r="H23" i="1"/>
  <c r="J39" i="1"/>
  <c r="J25" i="1"/>
  <c r="J11" i="1"/>
  <c r="J38" i="1"/>
  <c r="G26" i="1"/>
  <c r="L26" i="1" s="1"/>
  <c r="G12" i="1"/>
  <c r="L12" i="1" s="1"/>
  <c r="H35" i="1"/>
  <c r="H21" i="1"/>
  <c r="H7" i="1"/>
  <c r="G25" i="1"/>
  <c r="L25" i="1" s="1"/>
  <c r="G38" i="1"/>
  <c r="L38" i="1" s="1"/>
  <c r="G10" i="1"/>
  <c r="L10" i="1" s="1"/>
  <c r="H19" i="1"/>
  <c r="H5" i="1"/>
  <c r="G37" i="1"/>
  <c r="L37" i="1" s="1"/>
  <c r="G9" i="1"/>
  <c r="L9" i="1" s="1"/>
  <c r="H18" i="1"/>
  <c r="H4" i="1"/>
  <c r="I12" i="1"/>
  <c r="J34" i="1"/>
  <c r="J6" i="1"/>
  <c r="F28" i="1"/>
  <c r="K28" i="1" s="1"/>
  <c r="F14" i="1"/>
  <c r="K14" i="1" s="1"/>
  <c r="G36" i="1"/>
  <c r="L36" i="1" s="1"/>
  <c r="G8" i="1"/>
  <c r="L8" i="1" s="1"/>
  <c r="H31" i="1"/>
  <c r="H17" i="1"/>
  <c r="I39" i="1"/>
  <c r="I25" i="1"/>
  <c r="I11" i="1"/>
  <c r="J33" i="1"/>
  <c r="J19" i="1"/>
  <c r="J5" i="1"/>
  <c r="G35" i="1"/>
  <c r="G21" i="1"/>
  <c r="L21" i="1" s="1"/>
  <c r="G7" i="1"/>
  <c r="L7" i="1" s="1"/>
  <c r="H39" i="1"/>
  <c r="H25" i="1"/>
  <c r="H38" i="1"/>
  <c r="H24" i="1"/>
  <c r="H10" i="1"/>
  <c r="I4" i="1"/>
  <c r="H36" i="1"/>
  <c r="H22" i="1"/>
  <c r="H8" i="1"/>
  <c r="J37" i="1"/>
  <c r="J9" i="1"/>
  <c r="G39" i="1"/>
  <c r="L39" i="1" s="1"/>
  <c r="J36" i="1"/>
  <c r="J22" i="1"/>
  <c r="J8" i="1"/>
  <c r="G24" i="1"/>
  <c r="L24" i="1" s="1"/>
  <c r="H33" i="1"/>
  <c r="G23" i="1"/>
  <c r="H32" i="1"/>
  <c r="I26" i="1"/>
  <c r="J20" i="1"/>
  <c r="G22" i="1"/>
  <c r="L22" i="1" s="1"/>
  <c r="H30" i="1"/>
  <c r="H16" i="1"/>
  <c r="I38" i="1"/>
  <c r="I24" i="1"/>
  <c r="I10" i="1"/>
  <c r="J32" i="1"/>
  <c r="J18" i="1"/>
  <c r="J4" i="1"/>
  <c r="F26" i="1"/>
  <c r="K26" i="1" s="1"/>
  <c r="F12" i="1"/>
  <c r="K12" i="1" s="1"/>
  <c r="G34" i="1"/>
  <c r="L34" i="1" s="1"/>
  <c r="G20" i="1"/>
  <c r="G6" i="1"/>
  <c r="L6" i="1" s="1"/>
  <c r="H11" i="1"/>
  <c r="J24" i="1"/>
  <c r="J10" i="1"/>
  <c r="F4" i="1"/>
  <c r="K4" i="1" s="1"/>
  <c r="J23" i="1"/>
  <c r="G11" i="1"/>
  <c r="L11" i="1" s="1"/>
  <c r="I37" i="1"/>
  <c r="I9" i="1"/>
  <c r="H26" i="1"/>
  <c r="H12" i="1"/>
  <c r="K25" i="1"/>
  <c r="K24" i="1"/>
  <c r="K38" i="1"/>
  <c r="L20" i="1"/>
  <c r="L33" i="1"/>
  <c r="L19" i="1"/>
  <c r="L32" i="1"/>
  <c r="L18" i="1"/>
  <c r="K8" i="1"/>
  <c r="K35" i="1"/>
  <c r="K7" i="1"/>
  <c r="L30" i="1"/>
  <c r="K6" i="1"/>
  <c r="K5" i="1"/>
  <c r="U2" i="1"/>
  <c r="P2" i="1"/>
  <c r="L35" i="1"/>
  <c r="K13" i="1"/>
  <c r="L23" i="1"/>
  <c r="L5" i="1"/>
  <c r="L27" i="1"/>
  <c r="L4" i="1"/>
  <c r="K10" i="1"/>
  <c r="K19" i="1"/>
  <c r="K30" i="1"/>
  <c r="K18" i="1"/>
  <c r="K22" i="1"/>
  <c r="M2" i="1"/>
  <c r="L13" i="1"/>
  <c r="K16" i="1"/>
  <c r="K27" i="1"/>
  <c r="K39" i="1"/>
  <c r="K11" i="1"/>
  <c r="K23" i="1"/>
  <c r="K20" i="1"/>
  <c r="J10" i="5"/>
  <c r="O4" i="5"/>
  <c r="P4" i="5" s="1"/>
  <c r="O3" i="5"/>
  <c r="P3" i="5" s="1"/>
  <c r="J9" i="5"/>
  <c r="O12" i="5"/>
  <c r="P12" i="5" s="1"/>
  <c r="J5" i="5"/>
  <c r="J6" i="5"/>
  <c r="O8" i="5"/>
  <c r="P8" i="5" s="1"/>
  <c r="J7" i="5"/>
  <c r="M3" i="16" l="1"/>
  <c r="P5" i="16"/>
  <c r="P3" i="16" s="1"/>
  <c r="L3" i="16"/>
  <c r="O6" i="16"/>
  <c r="O3" i="16" s="1"/>
  <c r="Q3" i="16"/>
  <c r="N3" i="16"/>
  <c r="K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C7FAF-8332-49C1-8D16-D1543B15D024}" keepAlive="1" name="Query - DIM_Dates" description="Connection to the 'DIM_Dates' query in the workbook." type="5" refreshedVersion="0" background="1" saveData="1">
    <dbPr connection="Provider=Microsoft.Mashup.OleDb.1;Data Source=$Workbook$;Location=DIM_Dates;Extended Properties=&quot;&quot;" command="SELECT * FROM [DIM_Dates]"/>
  </connection>
  <connection id="2" xr16:uid="{9D223D5A-716D-46BD-9538-8D6A6C8B5AD4}" keepAlive="1" name="Query - Dim_Rates" description="Connection to the 'Dim_Rates' query in the workbook." type="5" refreshedVersion="8" background="1" saveData="1">
    <dbPr connection="Provider=Microsoft.Mashup.OleDb.1;Data Source=$Workbook$;Location=Dim_Rates;Extended Properties=&quot;&quot;" command="SELECT * FROM [Dim_Rates]"/>
  </connection>
  <connection id="3" xr16:uid="{40A4EB82-0341-4BDC-B541-26CBFA3116AC}" keepAlive="1" name="Query - FACT_Forecast" description="Connection to the 'FACT_Forecast' query in the workbook." type="5" refreshedVersion="8" background="1" saveData="1">
    <dbPr connection="Provider=Microsoft.Mashup.OleDb.1;Data Source=$Workbook$;Location=FACT_Forecast;Extended Properties=&quot;&quot;" command="SELECT * FROM [FACT_Forecast]"/>
  </connection>
  <connection id="4" xr16:uid="{9406B251-93A7-4408-9C9D-F36DB34B7A03}" keepAlive="1" name="Query - Input_Forecast" description="Connection to the 'Input_Forecast' query in the workbook." type="5" refreshedVersion="0" background="1" saveData="1">
    <dbPr connection="Provider=Microsoft.Mashup.OleDb.1;Data Source=$Workbook$;Location=Input_Forecast;Extended Properties=&quot;&quot;" command="SELECT * FROM [Input_Forecast]"/>
  </connection>
  <connection id="5" xr16:uid="{A548D73D-B3FE-41A6-89E5-49ABD95D60E7}" keepAlive="1" name="Query - Rates_Bill" description="Connection to the 'Rates_Bill' query in the workbook." type="5" refreshedVersion="0" background="1" saveData="1">
    <dbPr connection="Provider=Microsoft.Mashup.OleDb.1;Data Source=$Workbook$;Location=Rates_Bill;Extended Properties=&quot;&quot;" command="SELECT * FROM [Rates_Bill]"/>
  </connection>
  <connection id="6" xr16:uid="{1965D39D-E933-4A65-95EB-C28AC0811603}" keepAlive="1" name="Query - Rates_FBLR" description="Connection to the 'Rates_FBLR' query in the workbook." type="5" refreshedVersion="0" background="1" saveData="1">
    <dbPr connection="Provider=Microsoft.Mashup.OleDb.1;Data Source=$Workbook$;Location=Rates_FBLR;Extended Properties=&quot;&quot;" command="SELECT * FROM [Rates_FBLR]"/>
  </connection>
  <connection id="7" xr16:uid="{323E33E9-F4B0-4255-8CBD-1B5FC2AB94ED}" keepAlive="1" name="Query - Rates_Raw" description="Connection to the 'Rates_Raw' query in the workbook." type="5" refreshedVersion="0" background="1" saveData="1">
    <dbPr connection="Provider=Microsoft.Mashup.OleDb.1;Data Source=$Workbook$;Location=Rates_Raw;Extended Properties=&quot;&quot;" command="SELECT * FROM [Rates_Raw]"/>
  </connection>
</connections>
</file>

<file path=xl/sharedStrings.xml><?xml version="1.0" encoding="utf-8"?>
<sst xmlns="http://schemas.openxmlformats.org/spreadsheetml/2006/main" count="809" uniqueCount="101">
  <si>
    <t>Week Number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</si>
  <si>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</si>
  <si>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</si>
  <si>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</si>
  <si>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</si>
  <si>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</si>
  <si>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</si>
  <si>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</si>
  <si>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</si>
  <si>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</si>
  <si>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</si>
  <si>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</si>
  <si>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</si>
  <si>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</si>
  <si>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Week Ending</t>
  </si>
  <si>
    <t>Financial Year</t>
  </si>
  <si>
    <t>FY26</t>
  </si>
  <si>
    <t>FY27</t>
  </si>
  <si>
    <t>Ethan Carter</t>
  </si>
  <si>
    <t>Olivia Bennett</t>
  </si>
  <si>
    <t>Liam Foster</t>
  </si>
  <si>
    <t>Sophia Mitchell</t>
  </si>
  <si>
    <t>Noah Turner</t>
  </si>
  <si>
    <t>Amelia Brooks</t>
  </si>
  <si>
    <t>Mason Reed</t>
  </si>
  <si>
    <t>Charlotte Hayes</t>
  </si>
  <si>
    <t>Lucas Parker</t>
  </si>
  <si>
    <t>Grace Sullivan</t>
  </si>
  <si>
    <t>Requirements gathering</t>
  </si>
  <si>
    <t>Scope definition</t>
  </si>
  <si>
    <t>Project planning</t>
  </si>
  <si>
    <t>Solution design</t>
  </si>
  <si>
    <t>Database design</t>
  </si>
  <si>
    <t>Front-end development</t>
  </si>
  <si>
    <t>Back-end development</t>
  </si>
  <si>
    <t>Unit testing</t>
  </si>
  <si>
    <t>Integration testing</t>
  </si>
  <si>
    <t>User acceptance testing</t>
  </si>
  <si>
    <t>Production deployment</t>
  </si>
  <si>
    <t>Project closure</t>
  </si>
  <si>
    <t>Task Name</t>
  </si>
  <si>
    <t>Task Code</t>
  </si>
  <si>
    <t>Bill Rate/Hour</t>
  </si>
  <si>
    <t>Rate Type</t>
  </si>
  <si>
    <t>FBLR/Hour</t>
  </si>
  <si>
    <t>Raw Rate/Hour</t>
  </si>
  <si>
    <t>Employee Number</t>
  </si>
  <si>
    <t>Director</t>
  </si>
  <si>
    <t>Manager</t>
  </si>
  <si>
    <t>Senior Engineer</t>
  </si>
  <si>
    <t>Engineer</t>
  </si>
  <si>
    <t>Apprentice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</si>
  <si>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</si>
  <si>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</si>
  <si>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</si>
  <si>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</si>
  <si>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</si>
  <si>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</si>
  <si>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</si>
  <si>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</si>
  <si>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</si>
  <si>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</si>
  <si>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</si>
  <si>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</si>
  <si>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Employee Name</t>
  </si>
  <si>
    <t>Rate</t>
  </si>
  <si>
    <t>Hours</t>
  </si>
  <si>
    <t>Forecast Bill</t>
  </si>
  <si>
    <t>Forecast Hours</t>
  </si>
  <si>
    <t>Forecast FBLR</t>
  </si>
  <si>
    <t>Actuals To Date Bill</t>
  </si>
  <si>
    <t>Actuals To Date FBLR</t>
  </si>
  <si>
    <t>Employee Title</t>
  </si>
  <si>
    <t>FLBR Rate/Hour</t>
  </si>
  <si>
    <t>FY</t>
  </si>
  <si>
    <t>Actuals To Date Hours</t>
  </si>
  <si>
    <t>-</t>
  </si>
  <si>
    <t>Benchmark Hours</t>
  </si>
  <si>
    <t>Benchmark Bill</t>
  </si>
  <si>
    <t>Benchmark FBLR</t>
  </si>
  <si>
    <t>T-Con</t>
  </si>
  <si>
    <t>Contingency</t>
  </si>
  <si>
    <t>Current Date</t>
  </si>
  <si>
    <t>Estimate to Complete Hours</t>
  </si>
  <si>
    <t>Estimate to Complete Bill</t>
  </si>
  <si>
    <t>Estimate to Complete FBLR</t>
  </si>
  <si>
    <t>Estimate at Completion Hours</t>
  </si>
  <si>
    <t>Estimate at Completion Bill</t>
  </si>
  <si>
    <t>Estimate at Completion FBLR</t>
  </si>
  <si>
    <t>Variance Hours</t>
  </si>
  <si>
    <t>Variance Bill</t>
  </si>
  <si>
    <t>Variance FBLR</t>
  </si>
  <si>
    <t>actuals</t>
  </si>
  <si>
    <t>input forecasts</t>
  </si>
  <si>
    <t>summary</t>
  </si>
  <si>
    <t>fact forecasts</t>
  </si>
  <si>
    <t>input rates</t>
  </si>
  <si>
    <t>dim rates</t>
  </si>
  <si>
    <t>dim dates</t>
  </si>
  <si>
    <t>dim employees</t>
  </si>
  <si>
    <t>dim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</si>
</sst>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15" fontId="0" fillId="0" borderId="1" xfId="0" applyNumberFormat="1" applyBorder="1"/>
    <xf numFmtId="44" fontId="0" fillId="0" borderId="1" xfId="1" applyFont="1" applyBorder="1"/>
    <xf numFmtId="44" fontId="0" fillId="0" borderId="0" xfId="1" applyFont="1" applyBorder="1"/>
    <xf numFmtId="0" fontId="3" fillId="0" borderId="0" xfId="0" applyFont="1" applyFill="1" applyBorder="1"/>
    <xf numFmtId="0" fontId="0" fillId="0" borderId="2" xfId="0" applyBorder="1"/>
    <xf numFmtId="44" fontId="0" fillId="0" borderId="3" xfId="1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44" fontId="0" fillId="0" borderId="9" xfId="1" applyFont="1" applyBorder="1"/>
    <xf numFmtId="0" fontId="0" fillId="0" borderId="1" xfId="0" applyNumberFormat="1" applyBorder="1"/>
    <xf numFmtId="44" fontId="0" fillId="0" borderId="0" xfId="1" applyFont="1"/>
    <xf numFmtId="0" fontId="3" fillId="3" borderId="1" xfId="0" applyFont="1" applyFill="1" applyBorder="1"/>
    <xf numFmtId="0" fontId="0" fillId="3" borderId="1" xfId="0" applyFill="1" applyBorder="1"/>
    <xf numFmtId="15" fontId="3" fillId="4" borderId="1" xfId="0" applyNumberFormat="1" applyFont="1" applyFill="1" applyBorder="1"/>
    <xf numFmtId="0" fontId="0" fillId="5" borderId="1" xfId="0" applyFill="1" applyBorder="1"/>
    <xf numFmtId="0" fontId="3" fillId="6" borderId="1" xfId="0" applyFont="1" applyFill="1" applyBorder="1"/>
    <xf numFmtId="0" fontId="0" fillId="0" borderId="1" xfId="0" applyFill="1" applyBorder="1"/>
    <xf numFmtId="0" fontId="3" fillId="6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7" borderId="1" xfId="0" applyFont="1" applyFill="1" applyBorder="1" applyAlignment="1">
      <alignment wrapText="1"/>
    </xf>
    <xf numFmtId="0" fontId="4" fillId="0" borderId="0" xfId="0" applyFont="1"/>
    <xf numFmtId="0" fontId="3" fillId="0" borderId="0" xfId="0" applyFont="1"/>
    <xf numFmtId="0" fontId="0" fillId="5" borderId="2" xfId="0" applyFill="1" applyBorder="1"/>
    <xf numFmtId="0" fontId="0" fillId="3" borderId="3" xfId="0" applyFill="1" applyBorder="1"/>
    <xf numFmtId="0" fontId="3" fillId="6" borderId="4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0" fillId="5" borderId="7" xfId="0" applyFill="1" applyBorder="1"/>
    <xf numFmtId="0" fontId="0" fillId="0" borderId="8" xfId="0" applyFill="1" applyBorder="1"/>
    <xf numFmtId="0" fontId="0" fillId="5" borderId="8" xfId="0" applyFill="1" applyBorder="1"/>
    <xf numFmtId="0" fontId="0" fillId="3" borderId="8" xfId="0" applyFill="1" applyBorder="1"/>
    <xf numFmtId="0" fontId="0" fillId="3" borderId="9" xfId="0" applyFill="1" applyBorder="1"/>
    <xf numFmtId="44" fontId="0" fillId="0" borderId="1" xfId="0" applyNumberFormat="1" applyBorder="1"/>
    <xf numFmtId="44" fontId="0" fillId="0" borderId="8" xfId="0" applyNumberFormat="1" applyBorder="1"/>
    <xf numFmtId="44" fontId="3" fillId="4" borderId="1" xfId="1" applyFont="1" applyFill="1" applyBorder="1"/>
    <xf numFmtId="0" fontId="3" fillId="4" borderId="1" xfId="1" applyNumberFormat="1" applyFont="1" applyFill="1" applyBorder="1"/>
    <xf numFmtId="0" fontId="0" fillId="0" borderId="2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3" fillId="4" borderId="4" xfId="0" applyFont="1" applyFill="1" applyBorder="1"/>
    <xf numFmtId="0" fontId="3" fillId="4" borderId="5" xfId="0" applyFont="1" applyFill="1" applyBorder="1"/>
    <xf numFmtId="15" fontId="0" fillId="0" borderId="8" xfId="0" applyNumberFormat="1" applyBorder="1"/>
    <xf numFmtId="0" fontId="0" fillId="0" borderId="3" xfId="0" applyBorder="1" applyAlignment="1">
      <alignment horizontal="right"/>
    </xf>
    <xf numFmtId="0" fontId="3" fillId="6" borderId="4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0" fillId="0" borderId="9" xfId="0" applyBorder="1" applyAlignment="1">
      <alignment horizontal="right"/>
    </xf>
    <xf numFmtId="44" fontId="3" fillId="4" borderId="5" xfId="1" applyFont="1" applyFill="1" applyBorder="1"/>
    <xf numFmtId="15" fontId="0" fillId="0" borderId="0" xfId="0" applyNumberFormat="1"/>
    <xf numFmtId="15" fontId="3" fillId="4" borderId="5" xfId="0" applyNumberFormat="1" applyFont="1" applyFill="1" applyBorder="1"/>
    <xf numFmtId="0" fontId="3" fillId="7" borderId="1" xfId="0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15" fontId="3" fillId="7" borderId="5" xfId="0" applyNumberFormat="1" applyFont="1" applyFill="1" applyBorder="1"/>
    <xf numFmtId="44" fontId="3" fillId="7" borderId="5" xfId="1" applyFont="1" applyFill="1" applyBorder="1"/>
    <xf numFmtId="44" fontId="3" fillId="7" borderId="6" xfId="1" applyFont="1" applyFill="1" applyBorder="1"/>
    <xf numFmtId="44" fontId="3" fillId="7" borderId="5" xfId="1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44" fontId="2" fillId="8" borderId="1" xfId="1" applyFont="1" applyFill="1" applyBorder="1" applyAlignment="1">
      <alignment wrapText="1"/>
    </xf>
    <xf numFmtId="44" fontId="3" fillId="7" borderId="1" xfId="1" applyFont="1" applyFill="1" applyBorder="1" applyAlignment="1">
      <alignment wrapText="1"/>
    </xf>
    <xf numFmtId="0" fontId="2" fillId="8" borderId="1" xfId="0" applyFont="1" applyFill="1" applyBorder="1"/>
    <xf numFmtId="44" fontId="2" fillId="8" borderId="1" xfId="1" applyFont="1" applyFill="1" applyBorder="1"/>
    <xf numFmtId="44" fontId="3" fillId="7" borderId="1" xfId="1" applyFont="1" applyFill="1" applyBorder="1"/>
    <xf numFmtId="44" fontId="3" fillId="3" borderId="1" xfId="1" applyFont="1" applyFill="1" applyBorder="1"/>
    <xf numFmtId="0" fontId="3" fillId="3" borderId="1" xfId="0" applyFont="1" applyFill="1" applyBorder="1" applyAlignment="1">
      <alignment wrapText="1"/>
    </xf>
    <xf numFmtId="44" fontId="3" fillId="3" borderId="1" xfId="1" applyFont="1" applyFill="1" applyBorder="1" applyAlignment="1">
      <alignment wrapText="1"/>
    </xf>
    <xf numFmtId="44" fontId="3" fillId="6" borderId="1" xfId="1" applyFont="1" applyFill="1" applyBorder="1"/>
  </cellXfs>
  <cellStyles count="2">
    <cellStyle name="Currency" xfId="1" builtinId="4"/>
    <cellStyle name="Normal" xfId="0" builtinId="0"/>
  </cellStyles>
  <dxfs count="103">
    <dxf>
      <font>
        <color theme="0"/>
      </font>
    </dxf>
    <dxf>
      <font>
        <b/>
        <i val="0"/>
        <color theme="6"/>
      </font>
    </dxf>
    <dxf>
      <font>
        <b/>
        <i val="0"/>
        <color rgb="FFC00000"/>
      </font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£&quot;* #,##0.00_-;\-&quot;£&quot;* #,##0.00_-;_-&quot;£&quot;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AC44E27-BB84-4637-8398-2EB7ACAF3F7A}" autoFormatId="16" applyNumberFormats="0" applyBorderFormats="0" applyFontFormats="0" applyPatternFormats="0" applyAlignmentFormats="0" applyWidthHeightFormats="0">
  <queryTableRefresh nextId="21">
    <queryTableFields count="13">
      <queryTableField id="1" name="Task Code" tableColumnId="1"/>
      <queryTableField id="2" name="Task Name" tableColumnId="2"/>
      <queryTableField id="3" name="Employee Title" tableColumnId="3"/>
      <queryTableField id="4" name="Employee Number" tableColumnId="4"/>
      <queryTableField id="5" name="Employee Name" tableColumnId="5"/>
      <queryTableField id="6" name="Week Number" tableColumnId="6"/>
      <queryTableField id="15" name="Week Ending" tableColumnId="15"/>
      <queryTableField id="8" name="Financial Year" tableColumnId="8"/>
      <queryTableField id="7" name="Hours" tableColumnId="7"/>
      <queryTableField id="9" name="Bill Rate/Hour" tableColumnId="9"/>
      <queryTableField id="10" name="FLBR Rate/Hour" tableColumnId="10"/>
      <queryTableField id="13" name="Forecast Bill" tableColumnId="13"/>
      <queryTableField id="14" name="Forecast FBLR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92B9781-B3B2-4A38-9D51-F0E20ED86793}" autoFormatId="16" applyNumberFormats="0" applyBorderFormats="0" applyFontFormats="0" applyPatternFormats="0" applyAlignmentFormats="0" applyWidthHeightFormats="0">
  <queryTableRefresh nextId="7">
    <queryTableFields count="4">
      <queryTableField id="1" name="Rate Type" tableColumnId="1"/>
      <queryTableField id="2" name="Employee Number" tableColumnId="2"/>
      <queryTableField id="5" name="FY" tableColumnId="5"/>
      <queryTableField id="4" name="Rat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FF3C2F-D07C-4665-BD0B-ACDC99635EC1}" name="Actuals" displayName="Actuals" ref="A2:K30" totalsRowShown="0" headerRowDxfId="12" headerRowBorderDxfId="22" tableBorderDxfId="23" totalsRowBorderDxfId="21">
  <autoFilter ref="A2:K30" xr:uid="{C8FF3C2F-D07C-4665-BD0B-ACDC99635EC1}"/>
  <tableColumns count="11">
    <tableColumn id="1" xr3:uid="{0258C33F-1C0C-4B38-9E70-C0205555E858}" name="Task Code" dataDxfId="20"/>
    <tableColumn id="2" xr3:uid="{698EB195-850A-4C38-AA7A-C98F666463BA}" name="Task Name" dataDxfId="19"/>
    <tableColumn id="3" xr3:uid="{2856FDDC-12BC-408C-9165-D002D5114A06}" name="Employee Title" dataDxfId="18"/>
    <tableColumn id="4" xr3:uid="{E76B7617-9AAE-4D5F-9017-49A8167B0F05}" name="Employee Number" dataDxfId="17"/>
    <tableColumn id="5" xr3:uid="{D0896D0E-B25D-4DEB-9CDB-716D521BCAEB}" name="Employee Name" dataDxfId="16"/>
    <tableColumn id="6" xr3:uid="{3941C9C7-1DB2-4D7A-A113-214A3B533AAB}" name="Week Ending" dataDxfId="11"/>
    <tableColumn id="7" xr3:uid="{D6012E44-35C1-4A52-88C1-2A89BE9D59C4}" name="Hours" dataDxfId="15"/>
    <tableColumn id="8" xr3:uid="{5B043F1F-758B-4FEF-A667-D40095432FA0}" name="Bill Rate/Hour" dataDxfId="14" dataCellStyle="Currency"/>
    <tableColumn id="9" xr3:uid="{83B27458-B429-48C1-9867-8BB0FD83CCEE}" name="FLBR Rate/Hour" dataDxfId="13" dataCellStyle="Currency"/>
    <tableColumn id="10" xr3:uid="{E55B0DC4-6961-4657-9348-2C2E58A52F69}" name="Forecast Bill" dataDxfId="4" dataCellStyle="Currency">
      <calculatedColumnFormula>Actuals[[#This Row],[Hours]]*Actuals[[#This Row],[Bill Rate/Hour]]</calculatedColumnFormula>
    </tableColumn>
    <tableColumn id="11" xr3:uid="{E52A1A55-66ED-4924-85EF-4848D5F76ABC}" name="Forecast FBLR" dataDxfId="3" dataCellStyle="Currency">
      <calculatedColumnFormula>Actuals[[#This Row],[Hours]]*Actuals[[#This Row],[FLBR Rate/Hour]]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046043-AE42-48B7-87CB-B76FBA7523CB}" name="Input_Forecast" displayName="Input_Forecast" ref="A3:Z39" totalsRowShown="0" headerRowDxfId="54" dataDxfId="55" headerRowBorderDxfId="75" tableBorderDxfId="76" totalsRowBorderDxfId="74">
  <autoFilter ref="A3:Z39" xr:uid="{7F046043-AE42-48B7-87CB-B76FBA7523CB}"/>
  <tableColumns count="26">
    <tableColumn id="1" xr3:uid="{2F28FB6E-155E-4495-A22F-F043F32A500A}" name="Task Code" dataDxfId="73"/>
    <tableColumn id="2" xr3:uid="{2532A2D4-0C1B-491B-8356-DF2105EE5E8A}" name="Task Name" dataDxfId="72">
      <calculatedColumnFormula>_xlfn.XLOOKUP('input forecasts'!$A4,'dim tasks'!$A:$A,'dim tasks'!$B:$B,"")</calculatedColumnFormula>
    </tableColumn>
    <tableColumn id="3" xr3:uid="{05028F97-E9B9-40E1-A9CB-E6EF537A4B4E}" name="Employee Title" dataDxfId="71">
      <calculatedColumnFormula>_xlfn.XLOOKUP($E4,'dim employees'!$C:$C,'dim employees'!$A:$A,"")</calculatedColumnFormula>
    </tableColumn>
    <tableColumn id="4" xr3:uid="{FA260751-EAA8-4EA7-8E7B-8855A7A7A791}" name="Employee Number" dataDxfId="70">
      <calculatedColumnFormula>_xlfn.XLOOKUP($E4,'dim employees'!$C:$C,'dim employees'!$B:$B,"")</calculatedColumnFormula>
    </tableColumn>
    <tableColumn id="5" xr3:uid="{F6E13F8C-5AD4-429B-BBE5-D96D20C67E52}" name="Employee Name" dataDxfId="69"/>
    <tableColumn id="6" xr3:uid="{E0F04133-BBBD-4F3C-A257-9F67B7549F58}" name="Bill Rate/Hour" dataDxfId="6" dataCellStyle="Currency">
      <calculatedColumnFormula>IFERROR(_xlfn.MAXIFS('dim rates'!$D:$D,'dim rates'!$B:$B,'input forecasts'!$D4,'dim rates'!$A:$A,F$3),"")</calculatedColumnFormula>
    </tableColumn>
    <tableColumn id="7" xr3:uid="{A90DAD3B-B9FC-43F9-A980-CF57A0F299D5}" name="FBLR/Hour" dataDxfId="5">
      <calculatedColumnFormula>IFERROR(_xlfn.MAXIFS('dim rates'!$D:$D,'dim rates'!$B:$B,'input forecasts'!$D4,'dim rates'!$A:$A,G$3),"")</calculatedColumnFormula>
    </tableColumn>
    <tableColumn id="26" xr3:uid="{6EB857D1-D175-4771-ABEF-D7BC3E4DF202}" name="Actuals To Date Hours" dataDxfId="10" dataCellStyle="Currency">
      <calculatedColumnFormula>SUMIFS(actuals!$G:$G,actuals!$A:$A,$A4,actuals!$D:$D,$D4)</calculatedColumnFormula>
    </tableColumn>
    <tableColumn id="8" xr3:uid="{72FCC9EF-0CFA-446C-8A39-6505B5650392}" name="Actuals To Date Bill" dataDxfId="9" dataCellStyle="Currency">
      <calculatedColumnFormula>SUMIFS(actuals!$J:$J,actuals!$A:$A,$A4,actuals!$D:$D,$D4)</calculatedColumnFormula>
    </tableColumn>
    <tableColumn id="9" xr3:uid="{90A91C43-6D43-46F2-9EED-B48C31098AE2}" name="Actuals To Date FBLR" dataDxfId="8">
      <calculatedColumnFormula>SUMIFS(actuals!$K:$K,actuals!$A:$A,$A4,actuals!$D:$D,$D4)</calculatedColumnFormula>
    </tableColumn>
    <tableColumn id="10" xr3:uid="{F01D0709-BAE0-40E9-A0E5-B692755132DF}" name="Forecast Bill" dataDxfId="51">
      <calculatedColumnFormula>Input_Forecast[[#This Row],[Bill Rate/Hour]]*Input_Forecast[[#This Row],[Forecast Hours]]</calculatedColumnFormula>
    </tableColumn>
    <tableColumn id="11" xr3:uid="{34FE6194-98D4-4619-8C79-594D5E41F7D1}" name="Forecast FBLR" dataDxfId="52">
      <calculatedColumnFormula>Input_Forecast[[#This Row],[FBLR/Hour]]*Input_Forecast[[#This Row],[Forecast Hours]]</calculatedColumnFormula>
    </tableColumn>
    <tableColumn id="12" xr3:uid="{E0D7C6DA-B6E6-4207-9659-CD4579F8FC2C}" name="Forecast Hours" dataDxfId="53">
      <calculatedColumnFormula>SUM(Input_Forecast[[#This Row],[W1]:[W13]])</calculatedColumnFormula>
    </tableColumn>
    <tableColumn id="13" xr3:uid="{62A37269-044A-499A-9677-07DDBB6B1024}" name="W1" dataDxfId="68"/>
    <tableColumn id="14" xr3:uid="{BE51CF2B-D4EC-422D-8694-9EC2EB6CE108}" name="W2" dataDxfId="67"/>
    <tableColumn id="15" xr3:uid="{8DB02AAE-C1A8-4434-BD13-EB9C35654FB7}" name="W3" dataDxfId="66"/>
    <tableColumn id="16" xr3:uid="{AAB2C8F7-F9E0-413A-981D-0C17B22D3741}" name="W4" dataDxfId="65"/>
    <tableColumn id="17" xr3:uid="{18601E33-077D-43EC-822E-B3B53E348BB6}" name="W5" dataDxfId="64"/>
    <tableColumn id="18" xr3:uid="{F7637140-DD1D-4492-ACBC-4EDE7F07CA92}" name="W6" dataDxfId="63"/>
    <tableColumn id="19" xr3:uid="{1BE874C9-BD14-430D-B87C-A25E75E3FCCA}" name="W7" dataDxfId="62"/>
    <tableColumn id="20" xr3:uid="{60FE4ED0-929F-49E7-B2D0-DEEACF021806}" name="W8" dataDxfId="61"/>
    <tableColumn id="21" xr3:uid="{438D2492-BFA7-468A-B208-B80B68DF6402}" name="W9" dataDxfId="60"/>
    <tableColumn id="22" xr3:uid="{271DC228-10C1-4B71-90F0-B84277F6EE9B}" name="W10" dataDxfId="59"/>
    <tableColumn id="23" xr3:uid="{9E27FC8F-8AD2-4AB9-AE25-F09637E85B13}" name="W11" dataDxfId="58"/>
    <tableColumn id="24" xr3:uid="{093FCBDC-1F71-4E83-B7AF-DA14D13E2BFA}" name="W12" dataDxfId="57"/>
    <tableColumn id="25" xr3:uid="{1386E47F-6397-42CD-B27B-E72B2DED4E07}" name="W13" dataDxfId="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A3B67B-9015-4A0D-B324-79860084EF81}" name="FACT_Forecast" displayName="FACT_Forecast" ref="A2:M52" tableType="queryTable" totalsRowShown="0" headerRowDxfId="47" headerRowBorderDxfId="49" tableBorderDxfId="50" totalsRowBorderDxfId="48">
  <autoFilter ref="A2:M52" xr:uid="{B0A3B67B-9015-4A0D-B324-79860084EF81}"/>
  <tableColumns count="13">
    <tableColumn id="1" xr3:uid="{E441BB53-BA93-4342-A095-FE442B52BB5B}" uniqueName="1" name="Task Code" queryTableFieldId="1" dataDxfId="36"/>
    <tableColumn id="2" xr3:uid="{A66A055A-0A4F-413D-A481-BD592C5FAE11}" uniqueName="2" name="Task Name" queryTableFieldId="2" dataDxfId="35"/>
    <tableColumn id="3" xr3:uid="{75F5C3A4-9CD4-426D-8B31-D3CAFF2DC225}" uniqueName="3" name="Employee Title" queryTableFieldId="3" dataDxfId="34"/>
    <tableColumn id="4" xr3:uid="{2A739969-C70C-4878-8290-EF9D68D6CEF6}" uniqueName="4" name="Employee Number" queryTableFieldId="4" dataDxfId="33"/>
    <tableColumn id="5" xr3:uid="{DBC79B78-CF92-4DE6-9D72-6E1070DC3538}" uniqueName="5" name="Employee Name" queryTableFieldId="5" dataDxfId="32"/>
    <tableColumn id="6" xr3:uid="{A774C832-65EA-4CE2-87CE-B2F002E99D13}" uniqueName="6" name="Week Number" queryTableFieldId="6" dataDxfId="31"/>
    <tableColumn id="15" xr3:uid="{117F461A-6962-4C23-991F-C4F4ED360E19}" uniqueName="15" name="Week Ending" queryTableFieldId="15" dataDxfId="30"/>
    <tableColumn id="8" xr3:uid="{5AA3E2BB-09EB-41BD-BE40-DBB4908A137F}" uniqueName="8" name="Financial Year" queryTableFieldId="8" dataDxfId="29"/>
    <tableColumn id="7" xr3:uid="{2E0F80CB-2692-466E-9ADD-2FF1900A2B11}" uniqueName="7" name="Hours" queryTableFieldId="7" dataDxfId="28"/>
    <tableColumn id="9" xr3:uid="{311D066F-D55F-49E3-A41A-F4CDCADB1E4C}" uniqueName="9" name="Bill Rate/Hour" queryTableFieldId="9" dataDxfId="27"/>
    <tableColumn id="10" xr3:uid="{197C1847-2149-46F5-BB34-7B76D1F09BCC}" uniqueName="10" name="FLBR Rate/Hour" queryTableFieldId="10" dataDxfId="26"/>
    <tableColumn id="13" xr3:uid="{4A2DCB46-5CF7-47BB-90F3-C3BB139024F6}" uniqueName="13" name="Forecast Bill" queryTableFieldId="13" dataDxfId="25" dataCellStyle="Currency"/>
    <tableColumn id="14" xr3:uid="{2CCFBD86-8C3D-490E-8172-6829FF875660}" uniqueName="14" name="Forecast FBLR" queryTableFieldId="14" dataDxfId="24" dataCellStyle="Curren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12B37-D621-4BBB-8E8A-FEEFA551E832}" name="Rates_Bill" displayName="Rates_Bill" ref="A2:D12" totalsRowShown="0" headerRowDxfId="95" headerRowBorderDxfId="101" tableBorderDxfId="102" totalsRowBorderDxfId="100">
  <autoFilter ref="A2:D12" xr:uid="{15D12B37-D621-4BBB-8E8A-FEEFA551E832}"/>
  <tableColumns count="4">
    <tableColumn id="1" xr3:uid="{E0CE8F60-5301-4C0B-BC1E-2B2913F9D60C}" name="Rate Type" dataDxfId="99"/>
    <tableColumn id="2" xr3:uid="{8C1B9F96-B767-460E-B2D6-EA9E5A437F23}" name="Employee Number" dataDxfId="98"/>
    <tableColumn id="3" xr3:uid="{B8931EB6-1EAE-4CCF-A049-80E042D98D59}" name="FY26" dataDxfId="97" dataCellStyle="Currency"/>
    <tableColumn id="4" xr3:uid="{C0530826-17F3-4B6E-8A3A-28EC2310085C}" name="FY27" dataDxfId="96" dataCellStyle="Currency">
      <calculatedColumnFormula>C3*(1.05)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CC4956-3AEF-4951-AE5C-8D610E5D210B}" name="Rates_FBLR" displayName="Rates_FBLR" ref="G2:J12" totalsRowShown="0" headerRowDxfId="87" headerRowBorderDxfId="93" tableBorderDxfId="94" totalsRowBorderDxfId="92">
  <autoFilter ref="G2:J12" xr:uid="{38CC4956-3AEF-4951-AE5C-8D610E5D210B}"/>
  <tableColumns count="4">
    <tableColumn id="1" xr3:uid="{2F7CA0EB-F0F8-428D-9937-FD2281D6318D}" name="Rate Type" dataDxfId="91"/>
    <tableColumn id="2" xr3:uid="{D286705E-564A-4981-827E-BC1FC0448F87}" name="Employee Number" dataDxfId="90"/>
    <tableColumn id="3" xr3:uid="{E3E3AAB3-5789-4EE9-9DA6-72B91CA62788}" name="FY26" dataDxfId="89" dataCellStyle="Currency">
      <calculatedColumnFormula>C3*0.9</calculatedColumnFormula>
    </tableColumn>
    <tableColumn id="4" xr3:uid="{2B6A5E05-C034-4F18-AA66-95876F8095A1}" name="FY27" dataDxfId="88" dataCellStyle="Currency">
      <calculatedColumnFormula>I3*(1.05)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D6D988-4F52-430D-8633-AA4BB141D700}" name="Rates_Raw" displayName="Rates_Raw" ref="M2:P12" totalsRowShown="0" headerRowDxfId="79" headerRowBorderDxfId="85" tableBorderDxfId="86" totalsRowBorderDxfId="84">
  <autoFilter ref="M2:P12" xr:uid="{2FD6D988-4F52-430D-8633-AA4BB141D700}"/>
  <tableColumns count="4">
    <tableColumn id="1" xr3:uid="{CB589A08-EEC9-4BF4-B914-797DB3B1539C}" name="Rate Type" dataDxfId="83"/>
    <tableColumn id="2" xr3:uid="{B75F1458-5F01-453E-BD39-6AE5B1FFF54F}" name="Employee Number" dataDxfId="82"/>
    <tableColumn id="3" xr3:uid="{C48045D6-E5AD-4EFD-A7A4-7C343A2FBE80}" name="FY26" dataDxfId="81" dataCellStyle="Currency">
      <calculatedColumnFormula>I3/2</calculatedColumnFormula>
    </tableColumn>
    <tableColumn id="4" xr3:uid="{014BB594-4D6A-43B8-8D00-7F1AF31F36C6}" name="FY27" dataDxfId="80" dataCellStyle="Currency">
      <calculatedColumnFormula>O3*(1.05)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F2A350-C455-4B36-8BEA-EDD2088AB534}" name="Dim_Rates" displayName="Dim_Rates" ref="A2:D62" tableType="queryTable" totalsRowShown="0" headerRowDxfId="77" headerRowBorderDxfId="78">
  <autoFilter ref="A2:D62" xr:uid="{95F2A350-C455-4B36-8BEA-EDD2088AB534}"/>
  <tableColumns count="4">
    <tableColumn id="1" xr3:uid="{1AA46B48-ADBD-46BF-AE67-59CF8B5889B2}" uniqueName="1" name="Rate Type" queryTableFieldId="1" dataDxfId="39"/>
    <tableColumn id="2" xr3:uid="{14E8CF17-9AA3-4EB5-A888-B8ABD3FAABC7}" uniqueName="2" name="Employee Number" queryTableFieldId="2" dataDxfId="38"/>
    <tableColumn id="5" xr3:uid="{DD68EBEB-6DC5-4F9B-AD8D-EE403892B7E4}" uniqueName="5" name="FY" queryTableFieldId="5" dataDxfId="7" dataCellStyle="Currency"/>
    <tableColumn id="4" xr3:uid="{A2540892-7146-41AF-8FA1-0EE0B151187C}" uniqueName="4" name="Rate" queryTableFieldId="4" dataDxfId="37" dataCellStyle="Currency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645F13D-2516-4275-B894-9BAF4701D835}" name="DIM_Dates" displayName="DIM_Dates" ref="A2:C15" totalsRowShown="0" headerRowDxfId="40" headerRowBorderDxfId="45" tableBorderDxfId="46" totalsRowBorderDxfId="44">
  <autoFilter ref="A2:C15" xr:uid="{E645F13D-2516-4275-B894-9BAF4701D835}"/>
  <tableColumns count="3">
    <tableColumn id="1" xr3:uid="{F1EB853F-07DE-44F0-91A3-BC0097B9E7EB}" name="Week Number" dataDxfId="43"/>
    <tableColumn id="2" xr3:uid="{8EAC5323-5168-4425-8447-292C522C726F}" name="Week Ending" dataDxfId="42">
      <calculatedColumnFormula>B2+7</calculatedColumnFormula>
    </tableColumn>
    <tableColumn id="3" xr3:uid="{82E0EE65-12BD-429A-AB9F-F6DDA9593B43}" name="Financial Year" dataDxfId="4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BCA5-A1FA-49D2-9204-4276A03DE501}">
  <sheetPr>
    <tabColor theme="2" tint="-0.749992370372631"/>
  </sheetPr>
  <dimension ref="A1:Q17"/>
  <sheetViews>
    <sheetView tabSelected="1" zoomScale="75" zoomScaleNormal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4.5" x14ac:dyDescent="0.35"/>
  <cols>
    <col min="1" max="1" width="9.6328125" bestFit="1" customWidth="1"/>
    <col min="2" max="2" width="21" bestFit="1" customWidth="1"/>
    <col min="3" max="3" width="10.6328125" bestFit="1" customWidth="1"/>
    <col min="4" max="5" width="12.26953125" style="16" customWidth="1"/>
    <col min="6" max="6" width="11.7265625" bestFit="1" customWidth="1"/>
    <col min="7" max="8" width="12.1796875" style="16" bestFit="1" customWidth="1"/>
    <col min="9" max="9" width="14.90625" bestFit="1" customWidth="1"/>
    <col min="10" max="10" width="12.81640625" customWidth="1"/>
    <col min="11" max="11" width="14.08984375" bestFit="1" customWidth="1"/>
    <col min="12" max="12" width="17.453125" customWidth="1"/>
    <col min="13" max="13" width="14.08984375" customWidth="1"/>
    <col min="14" max="14" width="16.1796875" customWidth="1"/>
    <col min="15" max="15" width="8.54296875" bestFit="1" customWidth="1"/>
    <col min="16" max="16" width="11.7265625" bestFit="1" customWidth="1"/>
    <col min="17" max="17" width="13.08984375" bestFit="1" customWidth="1"/>
  </cols>
  <sheetData>
    <row r="1" spans="1:17" x14ac:dyDescent="0.35">
      <c r="A1" s="27" t="s">
        <v>94</v>
      </c>
      <c r="F1" s="25" t="s">
        <v>82</v>
      </c>
      <c r="G1" s="2">
        <f>MAX(actuals!F:F)</f>
        <v>46249</v>
      </c>
    </row>
    <row r="2" spans="1:17" x14ac:dyDescent="0.35">
      <c r="A2" s="27"/>
      <c r="F2" s="56"/>
    </row>
    <row r="3" spans="1:17" x14ac:dyDescent="0.35">
      <c r="C3" s="68">
        <f>SUM(C5:C17)</f>
        <v>955</v>
      </c>
      <c r="D3" s="69">
        <f t="shared" ref="D3:K3" si="0">SUM(D5:D17)</f>
        <v>50000</v>
      </c>
      <c r="E3" s="69">
        <f t="shared" si="0"/>
        <v>43276.5</v>
      </c>
      <c r="F3" s="58">
        <f t="shared" si="0"/>
        <v>421</v>
      </c>
      <c r="G3" s="70">
        <f t="shared" si="0"/>
        <v>26067</v>
      </c>
      <c r="H3" s="70">
        <f t="shared" si="0"/>
        <v>23460.300000000003</v>
      </c>
      <c r="I3" s="17">
        <f t="shared" si="0"/>
        <v>515</v>
      </c>
      <c r="J3" s="71">
        <f t="shared" si="0"/>
        <v>21525</v>
      </c>
      <c r="K3" s="71">
        <f t="shared" si="0"/>
        <v>19372.5</v>
      </c>
      <c r="L3" s="68">
        <f t="shared" ref="L3:N3" si="1">SUM(L5:L17)</f>
        <v>936</v>
      </c>
      <c r="M3" s="69">
        <f>SUM(M5:M17)</f>
        <v>50000</v>
      </c>
      <c r="N3" s="69">
        <f t="shared" si="1"/>
        <v>42832.800000000003</v>
      </c>
      <c r="O3" s="21">
        <f t="shared" ref="O3:Q3" si="2">SUM(O5:O17)</f>
        <v>-19</v>
      </c>
      <c r="P3" s="74">
        <f>SUM(P5:P17)</f>
        <v>0</v>
      </c>
      <c r="Q3" s="74">
        <f t="shared" ref="Q3" si="3">SUM(Q5:Q17)</f>
        <v>-443.70000000000027</v>
      </c>
    </row>
    <row r="4" spans="1:17" s="24" customFormat="1" ht="29" x14ac:dyDescent="0.35">
      <c r="A4" s="23" t="s">
        <v>41</v>
      </c>
      <c r="B4" s="23" t="s">
        <v>40</v>
      </c>
      <c r="C4" s="65" t="s">
        <v>77</v>
      </c>
      <c r="D4" s="66" t="s">
        <v>78</v>
      </c>
      <c r="E4" s="66" t="s">
        <v>79</v>
      </c>
      <c r="F4" s="25" t="s">
        <v>75</v>
      </c>
      <c r="G4" s="67" t="s">
        <v>70</v>
      </c>
      <c r="H4" s="67" t="s">
        <v>71</v>
      </c>
      <c r="I4" s="72" t="s">
        <v>83</v>
      </c>
      <c r="J4" s="73" t="s">
        <v>84</v>
      </c>
      <c r="K4" s="73" t="s">
        <v>85</v>
      </c>
      <c r="L4" s="65" t="s">
        <v>86</v>
      </c>
      <c r="M4" s="66" t="s">
        <v>87</v>
      </c>
      <c r="N4" s="66" t="s">
        <v>88</v>
      </c>
      <c r="O4" s="23" t="s">
        <v>89</v>
      </c>
      <c r="P4" s="23" t="s">
        <v>90</v>
      </c>
      <c r="Q4" s="23" t="s">
        <v>91</v>
      </c>
    </row>
    <row r="5" spans="1:17" x14ac:dyDescent="0.35">
      <c r="A5" s="1" t="s">
        <v>52</v>
      </c>
      <c r="B5" s="1" t="s">
        <v>28</v>
      </c>
      <c r="C5" s="1">
        <f>SUMIFS('fact forecasts'!$I:$I,'fact forecasts'!$A:$A,summary!$A5)</f>
        <v>30</v>
      </c>
      <c r="D5" s="3">
        <f>SUMIFS('fact forecasts'!$L:$L,'fact forecasts'!$A:$A,summary!$A5)</f>
        <v>3000</v>
      </c>
      <c r="E5" s="3">
        <f>SUMIFS('fact forecasts'!$M:$M,'fact forecasts'!$A:$A,summary!$A5)</f>
        <v>2700</v>
      </c>
      <c r="F5" s="1">
        <f>SUMIFS(actuals!$G:$G,actuals!$A:$A,summary!$A5)</f>
        <v>28</v>
      </c>
      <c r="G5" s="3">
        <f>SUMIFS(actuals!$J:$J,actuals!$A:$A,summary!$A5)</f>
        <v>2800</v>
      </c>
      <c r="H5" s="3">
        <f>SUMIFS(actuals!$K:$K,actuals!$A:$A,summary!$A5)</f>
        <v>2520</v>
      </c>
      <c r="I5" s="1">
        <f>SUMIFS('fact forecasts'!$I:$I,'fact forecasts'!$A:$A,summary!$A5,'fact forecasts'!$G:$G,"&gt;"&amp;summary!$G$1)</f>
        <v>0</v>
      </c>
      <c r="J5" s="3">
        <f>SUMIFS('fact forecasts'!$L:$L,'fact forecasts'!$A:$A,summary!$A5,'fact forecasts'!$G:$G,"&gt;"&amp;summary!$G$1)</f>
        <v>0</v>
      </c>
      <c r="K5" s="3">
        <f>SUMIFS('fact forecasts'!$M:$M,'fact forecasts'!$A:$A,summary!$A5,'fact forecasts'!$G:$G,"&gt;"&amp;summary!$G$1)</f>
        <v>0</v>
      </c>
      <c r="L5" s="1">
        <f>F5+I5</f>
        <v>28</v>
      </c>
      <c r="M5" s="3">
        <f>G5+J5</f>
        <v>2800</v>
      </c>
      <c r="N5" s="3">
        <f>H5+K5</f>
        <v>2520</v>
      </c>
      <c r="O5" s="1">
        <f>L5-C5</f>
        <v>-2</v>
      </c>
      <c r="P5" s="3">
        <f t="shared" ref="P5:Q5" si="4">M5-D5</f>
        <v>-200</v>
      </c>
      <c r="Q5" s="3">
        <f t="shared" si="4"/>
        <v>-180</v>
      </c>
    </row>
    <row r="6" spans="1:17" x14ac:dyDescent="0.35">
      <c r="A6" s="1" t="s">
        <v>53</v>
      </c>
      <c r="B6" s="1" t="s">
        <v>29</v>
      </c>
      <c r="C6" s="1">
        <f>SUMIFS('fact forecasts'!$I:$I,'fact forecasts'!$A:$A,summary!$A6)</f>
        <v>30</v>
      </c>
      <c r="D6" s="3">
        <f>SUMIFS('fact forecasts'!$L:$L,'fact forecasts'!$A:$A,summary!$A6)</f>
        <v>2600</v>
      </c>
      <c r="E6" s="3">
        <f>SUMIFS('fact forecasts'!$M:$M,'fact forecasts'!$A:$A,summary!$A6)</f>
        <v>2340</v>
      </c>
      <c r="F6" s="1">
        <f>SUMIFS(actuals!$G:$G,actuals!$A:$A,summary!$A6)</f>
        <v>34</v>
      </c>
      <c r="G6" s="3">
        <f>SUMIFS(actuals!$J:$J,actuals!$A:$A,summary!$A6)</f>
        <v>2980</v>
      </c>
      <c r="H6" s="3">
        <f>SUMIFS(actuals!$K:$K,actuals!$A:$A,summary!$A6)</f>
        <v>2682</v>
      </c>
      <c r="I6" s="1">
        <f>SUMIFS('fact forecasts'!$I:$I,'fact forecasts'!$A:$A,summary!$A6,'fact forecasts'!$G:$G,"&gt;"&amp;summary!$G$1)</f>
        <v>0</v>
      </c>
      <c r="J6" s="3">
        <f>SUMIFS('fact forecasts'!$L:$L,'fact forecasts'!$A:$A,summary!$A6,'fact forecasts'!$G:$G,"&gt;"&amp;summary!$G$1)</f>
        <v>0</v>
      </c>
      <c r="K6" s="3">
        <f>SUMIFS('fact forecasts'!$M:$M,'fact forecasts'!$A:$A,summary!$A6,'fact forecasts'!$G:$G,"&gt;"&amp;summary!$G$1)</f>
        <v>0</v>
      </c>
      <c r="L6" s="1">
        <f t="shared" ref="L6:L17" si="5">F6+I6</f>
        <v>34</v>
      </c>
      <c r="M6" s="3">
        <f t="shared" ref="M6:M17" si="6">G6+J6</f>
        <v>2980</v>
      </c>
      <c r="N6" s="3">
        <f t="shared" ref="N6:N17" si="7">H6+K6</f>
        <v>2682</v>
      </c>
      <c r="O6" s="1">
        <f t="shared" ref="O6:O16" si="8">L6-C6</f>
        <v>4</v>
      </c>
      <c r="P6" s="3">
        <f t="shared" ref="P6:P17" si="9">M6-D6</f>
        <v>380</v>
      </c>
      <c r="Q6" s="3">
        <f t="shared" ref="Q6:Q16" si="10">N6-E6</f>
        <v>342</v>
      </c>
    </row>
    <row r="7" spans="1:17" x14ac:dyDescent="0.35">
      <c r="A7" s="1" t="s">
        <v>54</v>
      </c>
      <c r="B7" s="1" t="s">
        <v>30</v>
      </c>
      <c r="C7" s="1">
        <f>SUMIFS('fact forecasts'!$I:$I,'fact forecasts'!$A:$A,summary!$A7)</f>
        <v>60</v>
      </c>
      <c r="D7" s="3">
        <f>SUMIFS('fact forecasts'!$L:$L,'fact forecasts'!$A:$A,summary!$A7)</f>
        <v>5200</v>
      </c>
      <c r="E7" s="3">
        <f>SUMIFS('fact forecasts'!$M:$M,'fact forecasts'!$A:$A,summary!$A7)</f>
        <v>4680</v>
      </c>
      <c r="F7" s="1">
        <f>SUMIFS(actuals!$G:$G,actuals!$A:$A,summary!$A7)</f>
        <v>55</v>
      </c>
      <c r="G7" s="3">
        <f>SUMIFS(actuals!$J:$J,actuals!$A:$A,summary!$A7)</f>
        <v>4800</v>
      </c>
      <c r="H7" s="3">
        <f>SUMIFS(actuals!$K:$K,actuals!$A:$A,summary!$A7)</f>
        <v>4320</v>
      </c>
      <c r="I7" s="1">
        <f>SUMIFS('fact forecasts'!$I:$I,'fact forecasts'!$A:$A,summary!$A7,'fact forecasts'!$G:$G,"&gt;"&amp;summary!$G$1)</f>
        <v>0</v>
      </c>
      <c r="J7" s="3">
        <f>SUMIFS('fact forecasts'!$L:$L,'fact forecasts'!$A:$A,summary!$A7,'fact forecasts'!$G:$G,"&gt;"&amp;summary!$G$1)</f>
        <v>0</v>
      </c>
      <c r="K7" s="3">
        <f>SUMIFS('fact forecasts'!$M:$M,'fact forecasts'!$A:$A,summary!$A7,'fact forecasts'!$G:$G,"&gt;"&amp;summary!$G$1)</f>
        <v>0</v>
      </c>
      <c r="L7" s="1">
        <f t="shared" si="5"/>
        <v>55</v>
      </c>
      <c r="M7" s="3">
        <f t="shared" si="6"/>
        <v>4800</v>
      </c>
      <c r="N7" s="3">
        <f t="shared" si="7"/>
        <v>4320</v>
      </c>
      <c r="O7" s="1">
        <f t="shared" si="8"/>
        <v>-5</v>
      </c>
      <c r="P7" s="3">
        <f t="shared" si="9"/>
        <v>-400</v>
      </c>
      <c r="Q7" s="3">
        <f t="shared" si="10"/>
        <v>-360</v>
      </c>
    </row>
    <row r="8" spans="1:17" x14ac:dyDescent="0.35">
      <c r="A8" s="1" t="s">
        <v>55</v>
      </c>
      <c r="B8" s="1" t="s">
        <v>31</v>
      </c>
      <c r="C8" s="1">
        <f>SUMIFS('fact forecasts'!$I:$I,'fact forecasts'!$A:$A,summary!$A8)</f>
        <v>60</v>
      </c>
      <c r="D8" s="3">
        <f>SUMIFS('fact forecasts'!$L:$L,'fact forecasts'!$A:$A,summary!$A8)</f>
        <v>4100</v>
      </c>
      <c r="E8" s="3">
        <f>SUMIFS('fact forecasts'!$M:$M,'fact forecasts'!$A:$A,summary!$A8)</f>
        <v>3690</v>
      </c>
      <c r="F8" s="1">
        <f>SUMIFS(actuals!$G:$G,actuals!$A:$A,summary!$A8)</f>
        <v>55</v>
      </c>
      <c r="G8" s="3">
        <f>SUMIFS(actuals!$J:$J,actuals!$A:$A,summary!$A8)</f>
        <v>3785</v>
      </c>
      <c r="H8" s="3">
        <f>SUMIFS(actuals!$K:$K,actuals!$A:$A,summary!$A8)</f>
        <v>3406.5</v>
      </c>
      <c r="I8" s="1">
        <f>SUMIFS('fact forecasts'!$I:$I,'fact forecasts'!$A:$A,summary!$A8,'fact forecasts'!$G:$G,"&gt;"&amp;summary!$G$1)</f>
        <v>0</v>
      </c>
      <c r="J8" s="3">
        <f>SUMIFS('fact forecasts'!$L:$L,'fact forecasts'!$A:$A,summary!$A8,'fact forecasts'!$G:$G,"&gt;"&amp;summary!$G$1)</f>
        <v>0</v>
      </c>
      <c r="K8" s="3">
        <f>SUMIFS('fact forecasts'!$M:$M,'fact forecasts'!$A:$A,summary!$A8,'fact forecasts'!$G:$G,"&gt;"&amp;summary!$G$1)</f>
        <v>0</v>
      </c>
      <c r="L8" s="1">
        <f t="shared" si="5"/>
        <v>55</v>
      </c>
      <c r="M8" s="3">
        <f t="shared" si="6"/>
        <v>3785</v>
      </c>
      <c r="N8" s="3">
        <f t="shared" si="7"/>
        <v>3406.5</v>
      </c>
      <c r="O8" s="1">
        <f t="shared" si="8"/>
        <v>-5</v>
      </c>
      <c r="P8" s="3">
        <f t="shared" si="9"/>
        <v>-315</v>
      </c>
      <c r="Q8" s="3">
        <f t="shared" si="10"/>
        <v>-283.5</v>
      </c>
    </row>
    <row r="9" spans="1:17" x14ac:dyDescent="0.35">
      <c r="A9" s="1" t="s">
        <v>56</v>
      </c>
      <c r="B9" s="1" t="s">
        <v>32</v>
      </c>
      <c r="C9" s="1">
        <f>SUMIFS('fact forecasts'!$I:$I,'fact forecasts'!$A:$A,summary!$A9)</f>
        <v>60</v>
      </c>
      <c r="D9" s="3">
        <f>SUMIFS('fact forecasts'!$L:$L,'fact forecasts'!$A:$A,summary!$A9)</f>
        <v>4100</v>
      </c>
      <c r="E9" s="3">
        <f>SUMIFS('fact forecasts'!$M:$M,'fact forecasts'!$A:$A,summary!$A9)</f>
        <v>3690</v>
      </c>
      <c r="F9" s="1">
        <f>SUMIFS(actuals!$G:$G,actuals!$A:$A,summary!$A9)</f>
        <v>60</v>
      </c>
      <c r="G9" s="3">
        <f>SUMIFS(actuals!$J:$J,actuals!$A:$A,summary!$A9)</f>
        <v>4163</v>
      </c>
      <c r="H9" s="3">
        <f>SUMIFS(actuals!$K:$K,actuals!$A:$A,summary!$A9)</f>
        <v>3746.7</v>
      </c>
      <c r="I9" s="1">
        <f>SUMIFS('fact forecasts'!$I:$I,'fact forecasts'!$A:$A,summary!$A9,'fact forecasts'!$G:$G,"&gt;"&amp;summary!$G$1)</f>
        <v>0</v>
      </c>
      <c r="J9" s="3">
        <f>SUMIFS('fact forecasts'!$L:$L,'fact forecasts'!$A:$A,summary!$A9,'fact forecasts'!$G:$G,"&gt;"&amp;summary!$G$1)</f>
        <v>0</v>
      </c>
      <c r="K9" s="3">
        <f>SUMIFS('fact forecasts'!$M:$M,'fact forecasts'!$A:$A,summary!$A9,'fact forecasts'!$G:$G,"&gt;"&amp;summary!$G$1)</f>
        <v>0</v>
      </c>
      <c r="L9" s="1">
        <f t="shared" si="5"/>
        <v>60</v>
      </c>
      <c r="M9" s="3">
        <f t="shared" si="6"/>
        <v>4163</v>
      </c>
      <c r="N9" s="3">
        <f t="shared" si="7"/>
        <v>3746.7</v>
      </c>
      <c r="O9" s="1">
        <f t="shared" si="8"/>
        <v>0</v>
      </c>
      <c r="P9" s="3">
        <f t="shared" si="9"/>
        <v>63</v>
      </c>
      <c r="Q9" s="3">
        <f t="shared" si="10"/>
        <v>56.699999999999818</v>
      </c>
    </row>
    <row r="10" spans="1:17" x14ac:dyDescent="0.35">
      <c r="A10" s="1" t="s">
        <v>57</v>
      </c>
      <c r="B10" s="1" t="s">
        <v>33</v>
      </c>
      <c r="C10" s="1">
        <f>SUMIFS('fact forecasts'!$I:$I,'fact forecasts'!$A:$A,summary!$A10)</f>
        <v>150</v>
      </c>
      <c r="D10" s="3">
        <f>SUMIFS('fact forecasts'!$L:$L,'fact forecasts'!$A:$A,summary!$A10)</f>
        <v>4410</v>
      </c>
      <c r="E10" s="3">
        <f>SUMIFS('fact forecasts'!$M:$M,'fact forecasts'!$A:$A,summary!$A10)</f>
        <v>3969</v>
      </c>
      <c r="F10" s="1">
        <f>SUMIFS(actuals!$G:$G,actuals!$A:$A,summary!$A10)</f>
        <v>94</v>
      </c>
      <c r="G10" s="3">
        <f>SUMIFS(actuals!$J:$J,actuals!$A:$A,summary!$A10)</f>
        <v>3066</v>
      </c>
      <c r="H10" s="3">
        <f>SUMIFS(actuals!$K:$K,actuals!$A:$A,summary!$A10)</f>
        <v>2759.4</v>
      </c>
      <c r="I10" s="1">
        <f>SUMIFS('fact forecasts'!$I:$I,'fact forecasts'!$A:$A,summary!$A10,'fact forecasts'!$G:$G,"&gt;"&amp;summary!$G$1)</f>
        <v>50</v>
      </c>
      <c r="J10" s="3">
        <f>SUMIFS('fact forecasts'!$L:$L,'fact forecasts'!$A:$A,summary!$A10,'fact forecasts'!$G:$G,"&gt;"&amp;summary!$G$1)</f>
        <v>1470</v>
      </c>
      <c r="K10" s="3">
        <f>SUMIFS('fact forecasts'!$M:$M,'fact forecasts'!$A:$A,summary!$A10,'fact forecasts'!$G:$G,"&gt;"&amp;summary!$G$1)</f>
        <v>1323</v>
      </c>
      <c r="L10" s="1">
        <f t="shared" si="5"/>
        <v>144</v>
      </c>
      <c r="M10" s="3">
        <f t="shared" si="6"/>
        <v>4536</v>
      </c>
      <c r="N10" s="3">
        <f t="shared" si="7"/>
        <v>4082.4</v>
      </c>
      <c r="O10" s="1">
        <f t="shared" si="8"/>
        <v>-6</v>
      </c>
      <c r="P10" s="3">
        <f t="shared" si="9"/>
        <v>126</v>
      </c>
      <c r="Q10" s="3">
        <f t="shared" si="10"/>
        <v>113.40000000000009</v>
      </c>
    </row>
    <row r="11" spans="1:17" x14ac:dyDescent="0.35">
      <c r="A11" s="1" t="s">
        <v>58</v>
      </c>
      <c r="B11" s="1" t="s">
        <v>34</v>
      </c>
      <c r="C11" s="1">
        <f>SUMIFS('fact forecasts'!$I:$I,'fact forecasts'!$A:$A,summary!$A11)</f>
        <v>150</v>
      </c>
      <c r="D11" s="3">
        <f>SUMIFS('fact forecasts'!$L:$L,'fact forecasts'!$A:$A,summary!$A11)</f>
        <v>6930</v>
      </c>
      <c r="E11" s="3">
        <f>SUMIFS('fact forecasts'!$M:$M,'fact forecasts'!$A:$A,summary!$A11)</f>
        <v>6237</v>
      </c>
      <c r="F11" s="1">
        <f>SUMIFS(actuals!$G:$G,actuals!$A:$A,summary!$A11)</f>
        <v>95</v>
      </c>
      <c r="G11" s="3">
        <f>SUMIFS(actuals!$J:$J,actuals!$A:$A,summary!$A11)</f>
        <v>4473</v>
      </c>
      <c r="H11" s="3">
        <f>SUMIFS(actuals!$K:$K,actuals!$A:$A,summary!$A11)</f>
        <v>4025.7</v>
      </c>
      <c r="I11" s="1">
        <f>SUMIFS('fact forecasts'!$I:$I,'fact forecasts'!$A:$A,summary!$A11,'fact forecasts'!$G:$G,"&gt;"&amp;summary!$G$1)</f>
        <v>50</v>
      </c>
      <c r="J11" s="3">
        <f>SUMIFS('fact forecasts'!$L:$L,'fact forecasts'!$A:$A,summary!$A11,'fact forecasts'!$G:$G,"&gt;"&amp;summary!$G$1)</f>
        <v>2310</v>
      </c>
      <c r="K11" s="3">
        <f>SUMIFS('fact forecasts'!$M:$M,'fact forecasts'!$A:$A,summary!$A11,'fact forecasts'!$G:$G,"&gt;"&amp;summary!$G$1)</f>
        <v>2079</v>
      </c>
      <c r="L11" s="1">
        <f t="shared" si="5"/>
        <v>145</v>
      </c>
      <c r="M11" s="3">
        <f t="shared" si="6"/>
        <v>6783</v>
      </c>
      <c r="N11" s="3">
        <f t="shared" si="7"/>
        <v>6104.7</v>
      </c>
      <c r="O11" s="1">
        <f t="shared" si="8"/>
        <v>-5</v>
      </c>
      <c r="P11" s="3">
        <f t="shared" si="9"/>
        <v>-147</v>
      </c>
      <c r="Q11" s="3">
        <f t="shared" si="10"/>
        <v>-132.30000000000018</v>
      </c>
    </row>
    <row r="12" spans="1:17" x14ac:dyDescent="0.35">
      <c r="A12" s="1" t="s">
        <v>59</v>
      </c>
      <c r="B12" s="1" t="s">
        <v>35</v>
      </c>
      <c r="C12" s="1">
        <f>SUMIFS('fact forecasts'!$I:$I,'fact forecasts'!$A:$A,summary!$A12)</f>
        <v>100</v>
      </c>
      <c r="D12" s="3">
        <f>SUMIFS('fact forecasts'!$L:$L,'fact forecasts'!$A:$A,summary!$A12)</f>
        <v>2940</v>
      </c>
      <c r="E12" s="3">
        <f>SUMIFS('fact forecasts'!$M:$M,'fact forecasts'!$A:$A,summary!$A12)</f>
        <v>2646</v>
      </c>
      <c r="F12" s="1">
        <f>SUMIFS(actuals!$G:$G,actuals!$A:$A,summary!$A12)</f>
        <v>0</v>
      </c>
      <c r="G12" s="3">
        <f>SUMIFS(actuals!$J:$J,actuals!$A:$A,summary!$A12)</f>
        <v>0</v>
      </c>
      <c r="H12" s="3">
        <f>SUMIFS(actuals!$K:$K,actuals!$A:$A,summary!$A12)</f>
        <v>0</v>
      </c>
      <c r="I12" s="1">
        <f>SUMIFS('fact forecasts'!$I:$I,'fact forecasts'!$A:$A,summary!$A12,'fact forecasts'!$G:$G,"&gt;"&amp;summary!$G$1)</f>
        <v>100</v>
      </c>
      <c r="J12" s="3">
        <f>SUMIFS('fact forecasts'!$L:$L,'fact forecasts'!$A:$A,summary!$A12,'fact forecasts'!$G:$G,"&gt;"&amp;summary!$G$1)</f>
        <v>2940</v>
      </c>
      <c r="K12" s="3">
        <f>SUMIFS('fact forecasts'!$M:$M,'fact forecasts'!$A:$A,summary!$A12,'fact forecasts'!$G:$G,"&gt;"&amp;summary!$G$1)</f>
        <v>2646</v>
      </c>
      <c r="L12" s="1">
        <f t="shared" si="5"/>
        <v>100</v>
      </c>
      <c r="M12" s="3">
        <f t="shared" si="6"/>
        <v>2940</v>
      </c>
      <c r="N12" s="3">
        <f t="shared" si="7"/>
        <v>2646</v>
      </c>
      <c r="O12" s="1">
        <f t="shared" si="8"/>
        <v>0</v>
      </c>
      <c r="P12" s="3">
        <f t="shared" si="9"/>
        <v>0</v>
      </c>
      <c r="Q12" s="3">
        <f t="shared" si="10"/>
        <v>0</v>
      </c>
    </row>
    <row r="13" spans="1:17" x14ac:dyDescent="0.35">
      <c r="A13" s="1" t="s">
        <v>60</v>
      </c>
      <c r="B13" s="1" t="s">
        <v>36</v>
      </c>
      <c r="C13" s="1">
        <f>SUMIFS('fact forecasts'!$I:$I,'fact forecasts'!$A:$A,summary!$A13)</f>
        <v>100</v>
      </c>
      <c r="D13" s="3">
        <f>SUMIFS('fact forecasts'!$L:$L,'fact forecasts'!$A:$A,summary!$A13)</f>
        <v>2940</v>
      </c>
      <c r="E13" s="3">
        <f>SUMIFS('fact forecasts'!$M:$M,'fact forecasts'!$A:$A,summary!$A13)</f>
        <v>2646</v>
      </c>
      <c r="F13" s="1">
        <f>SUMIFS(actuals!$G:$G,actuals!$A:$A,summary!$A13)</f>
        <v>0</v>
      </c>
      <c r="G13" s="3">
        <f>SUMIFS(actuals!$J:$J,actuals!$A:$A,summary!$A13)</f>
        <v>0</v>
      </c>
      <c r="H13" s="3">
        <f>SUMIFS(actuals!$K:$K,actuals!$A:$A,summary!$A13)</f>
        <v>0</v>
      </c>
      <c r="I13" s="1">
        <f>SUMIFS('fact forecasts'!$I:$I,'fact forecasts'!$A:$A,summary!$A13,'fact forecasts'!$G:$G,"&gt;"&amp;summary!$G$1)</f>
        <v>100</v>
      </c>
      <c r="J13" s="3">
        <f>SUMIFS('fact forecasts'!$L:$L,'fact forecasts'!$A:$A,summary!$A13,'fact forecasts'!$G:$G,"&gt;"&amp;summary!$G$1)</f>
        <v>2940</v>
      </c>
      <c r="K13" s="3">
        <f>SUMIFS('fact forecasts'!$M:$M,'fact forecasts'!$A:$A,summary!$A13,'fact forecasts'!$G:$G,"&gt;"&amp;summary!$G$1)</f>
        <v>2646</v>
      </c>
      <c r="L13" s="1">
        <f t="shared" si="5"/>
        <v>100</v>
      </c>
      <c r="M13" s="3">
        <f t="shared" si="6"/>
        <v>2940</v>
      </c>
      <c r="N13" s="3">
        <f t="shared" si="7"/>
        <v>2646</v>
      </c>
      <c r="O13" s="1">
        <f t="shared" si="8"/>
        <v>0</v>
      </c>
      <c r="P13" s="3">
        <f t="shared" si="9"/>
        <v>0</v>
      </c>
      <c r="Q13" s="3">
        <f t="shared" si="10"/>
        <v>0</v>
      </c>
    </row>
    <row r="14" spans="1:17" x14ac:dyDescent="0.35">
      <c r="A14" s="1" t="s">
        <v>61</v>
      </c>
      <c r="B14" s="1" t="s">
        <v>37</v>
      </c>
      <c r="C14" s="1">
        <f>SUMIFS('fact forecasts'!$I:$I,'fact forecasts'!$A:$A,summary!$A14)</f>
        <v>100</v>
      </c>
      <c r="D14" s="3">
        <f>SUMIFS('fact forecasts'!$L:$L,'fact forecasts'!$A:$A,summary!$A14)</f>
        <v>3360</v>
      </c>
      <c r="E14" s="3">
        <f>SUMIFS('fact forecasts'!$M:$M,'fact forecasts'!$A:$A,summary!$A14)</f>
        <v>3024</v>
      </c>
      <c r="F14" s="1">
        <f>SUMIFS(actuals!$G:$G,actuals!$A:$A,summary!$A14)</f>
        <v>0</v>
      </c>
      <c r="G14" s="3">
        <f>SUMIFS(actuals!$J:$J,actuals!$A:$A,summary!$A14)</f>
        <v>0</v>
      </c>
      <c r="H14" s="3">
        <f>SUMIFS(actuals!$K:$K,actuals!$A:$A,summary!$A14)</f>
        <v>0</v>
      </c>
      <c r="I14" s="1">
        <f>SUMIFS('fact forecasts'!$I:$I,'fact forecasts'!$A:$A,summary!$A14,'fact forecasts'!$G:$G,"&gt;"&amp;summary!$G$1)</f>
        <v>100</v>
      </c>
      <c r="J14" s="3">
        <f>SUMIFS('fact forecasts'!$L:$L,'fact forecasts'!$A:$A,summary!$A14,'fact forecasts'!$G:$G,"&gt;"&amp;summary!$G$1)</f>
        <v>3360</v>
      </c>
      <c r="K14" s="3">
        <f>SUMIFS('fact forecasts'!$M:$M,'fact forecasts'!$A:$A,summary!$A14,'fact forecasts'!$G:$G,"&gt;"&amp;summary!$G$1)</f>
        <v>3024</v>
      </c>
      <c r="L14" s="1">
        <f t="shared" si="5"/>
        <v>100</v>
      </c>
      <c r="M14" s="3">
        <f t="shared" si="6"/>
        <v>3360</v>
      </c>
      <c r="N14" s="3">
        <f t="shared" si="7"/>
        <v>3024</v>
      </c>
      <c r="O14" s="1">
        <f t="shared" si="8"/>
        <v>0</v>
      </c>
      <c r="P14" s="3">
        <f t="shared" si="9"/>
        <v>0</v>
      </c>
      <c r="Q14" s="3">
        <f t="shared" si="10"/>
        <v>0</v>
      </c>
    </row>
    <row r="15" spans="1:17" x14ac:dyDescent="0.35">
      <c r="A15" s="1" t="s">
        <v>62</v>
      </c>
      <c r="B15" s="1" t="s">
        <v>38</v>
      </c>
      <c r="C15" s="1">
        <f>SUMIFS('fact forecasts'!$I:$I,'fact forecasts'!$A:$A,summary!$A15)</f>
        <v>100</v>
      </c>
      <c r="D15" s="3">
        <f>SUMIFS('fact forecasts'!$L:$L,'fact forecasts'!$A:$A,summary!$A15)</f>
        <v>7140</v>
      </c>
      <c r="E15" s="3">
        <f>SUMIFS('fact forecasts'!$M:$M,'fact forecasts'!$A:$A,summary!$A15)</f>
        <v>6426</v>
      </c>
      <c r="F15" s="1">
        <f>SUMIFS(actuals!$G:$G,actuals!$A:$A,summary!$A15)</f>
        <v>0</v>
      </c>
      <c r="G15" s="3">
        <f>SUMIFS(actuals!$J:$J,actuals!$A:$A,summary!$A15)</f>
        <v>0</v>
      </c>
      <c r="H15" s="3">
        <f>SUMIFS(actuals!$K:$K,actuals!$A:$A,summary!$A15)</f>
        <v>0</v>
      </c>
      <c r="I15" s="1">
        <f>SUMIFS('fact forecasts'!$I:$I,'fact forecasts'!$A:$A,summary!$A15,'fact forecasts'!$G:$G,"&gt;"&amp;summary!$G$1)</f>
        <v>100</v>
      </c>
      <c r="J15" s="3">
        <f>SUMIFS('fact forecasts'!$L:$L,'fact forecasts'!$A:$A,summary!$A15,'fact forecasts'!$G:$G,"&gt;"&amp;summary!$G$1)</f>
        <v>7140</v>
      </c>
      <c r="K15" s="3">
        <f>SUMIFS('fact forecasts'!$M:$M,'fact forecasts'!$A:$A,summary!$A15,'fact forecasts'!$G:$G,"&gt;"&amp;summary!$G$1)</f>
        <v>6426</v>
      </c>
      <c r="L15" s="1">
        <f t="shared" si="5"/>
        <v>100</v>
      </c>
      <c r="M15" s="3">
        <f t="shared" si="6"/>
        <v>7140</v>
      </c>
      <c r="N15" s="3">
        <f t="shared" si="7"/>
        <v>6426</v>
      </c>
      <c r="O15" s="1">
        <f t="shared" si="8"/>
        <v>0</v>
      </c>
      <c r="P15" s="3">
        <f t="shared" si="9"/>
        <v>0</v>
      </c>
      <c r="Q15" s="3">
        <f t="shared" si="10"/>
        <v>0</v>
      </c>
    </row>
    <row r="16" spans="1:17" x14ac:dyDescent="0.35">
      <c r="A16" s="1" t="s">
        <v>63</v>
      </c>
      <c r="B16" s="1" t="s">
        <v>39</v>
      </c>
      <c r="C16" s="1">
        <f>SUMIFS('fact forecasts'!$I:$I,'fact forecasts'!$A:$A,summary!$A16)</f>
        <v>15</v>
      </c>
      <c r="D16" s="3">
        <f>SUMIFS('fact forecasts'!$L:$L,'fact forecasts'!$A:$A,summary!$A16)</f>
        <v>1365</v>
      </c>
      <c r="E16" s="3">
        <f>SUMIFS('fact forecasts'!$M:$M,'fact forecasts'!$A:$A,summary!$A16)</f>
        <v>1228.5</v>
      </c>
      <c r="F16" s="1">
        <f>SUMIFS(actuals!$G:$G,actuals!$A:$A,summary!$A16)</f>
        <v>0</v>
      </c>
      <c r="G16" s="3">
        <f>SUMIFS(actuals!$J:$J,actuals!$A:$A,summary!$A16)</f>
        <v>0</v>
      </c>
      <c r="H16" s="3">
        <f>SUMIFS(actuals!$K:$K,actuals!$A:$A,summary!$A16)</f>
        <v>0</v>
      </c>
      <c r="I16" s="1">
        <f>SUMIFS('fact forecasts'!$I:$I,'fact forecasts'!$A:$A,summary!$A16,'fact forecasts'!$G:$G,"&gt;"&amp;summary!$G$1)</f>
        <v>15</v>
      </c>
      <c r="J16" s="3">
        <f>SUMIFS('fact forecasts'!$L:$L,'fact forecasts'!$A:$A,summary!$A16,'fact forecasts'!$G:$G,"&gt;"&amp;summary!$G$1)</f>
        <v>1365</v>
      </c>
      <c r="K16" s="3">
        <f>SUMIFS('fact forecasts'!$M:$M,'fact forecasts'!$A:$A,summary!$A16,'fact forecasts'!$G:$G,"&gt;"&amp;summary!$G$1)</f>
        <v>1228.5</v>
      </c>
      <c r="L16" s="1">
        <f t="shared" si="5"/>
        <v>15</v>
      </c>
      <c r="M16" s="3">
        <f t="shared" si="6"/>
        <v>1365</v>
      </c>
      <c r="N16" s="3">
        <f t="shared" si="7"/>
        <v>1228.5</v>
      </c>
      <c r="O16" s="1">
        <f t="shared" si="8"/>
        <v>0</v>
      </c>
      <c r="P16" s="3">
        <f t="shared" si="9"/>
        <v>0</v>
      </c>
      <c r="Q16" s="3">
        <f t="shared" si="10"/>
        <v>0</v>
      </c>
    </row>
    <row r="17" spans="1:17" x14ac:dyDescent="0.35">
      <c r="A17" s="22" t="s">
        <v>80</v>
      </c>
      <c r="B17" s="22" t="s">
        <v>81</v>
      </c>
      <c r="C17" s="1"/>
      <c r="D17" s="3">
        <v>1915</v>
      </c>
      <c r="E17" s="3"/>
      <c r="F17" s="1">
        <f>SUMIFS(actuals!$G:$G,actuals!$A:$A,summary!$A17)</f>
        <v>0</v>
      </c>
      <c r="G17" s="3">
        <f>SUMIFS(actuals!$J:$J,actuals!$A:$A,summary!$A17)</f>
        <v>0</v>
      </c>
      <c r="H17" s="3">
        <f>SUMIFS(actuals!$K:$K,actuals!$A:$A,summary!$A17)</f>
        <v>0</v>
      </c>
      <c r="I17" s="1">
        <f>SUMIFS('fact forecasts'!$I:$I,'fact forecasts'!$A:$A,summary!$A17,'fact forecasts'!$G:$G,"&gt;"&amp;summary!$G$1)</f>
        <v>0</v>
      </c>
      <c r="J17" s="3">
        <f>SUMIFS('fact forecasts'!$L:$L,'fact forecasts'!$A:$A,summary!$A17,'fact forecasts'!$G:$G,"&gt;"&amp;summary!$G$1)</f>
        <v>0</v>
      </c>
      <c r="K17" s="3">
        <f>SUMIFS('fact forecasts'!$M:$M,'fact forecasts'!$A:$A,summary!$A17,'fact forecasts'!$G:$G,"&gt;"&amp;summary!$G$1)</f>
        <v>0</v>
      </c>
      <c r="L17" s="1"/>
      <c r="M17" s="3">
        <v>2408</v>
      </c>
      <c r="N17" s="3"/>
      <c r="O17" s="1">
        <f t="shared" ref="O6:O17" si="11">L17-C17</f>
        <v>0</v>
      </c>
      <c r="P17" s="3">
        <f t="shared" si="9"/>
        <v>493</v>
      </c>
      <c r="Q17" s="3"/>
    </row>
  </sheetData>
  <conditionalFormatting sqref="O5:Q17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CF9C-6479-43DA-9ED9-B0CCDDB9EAD2}">
  <sheetPr>
    <tabColor theme="5" tint="0.79998168889431442"/>
  </sheetPr>
  <dimension ref="A1:K30"/>
  <sheetViews>
    <sheetView zoomScale="75" zoomScaleNormal="75" workbookViewId="0">
      <pane ySplit="2" topLeftCell="A4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12.90625" bestFit="1" customWidth="1"/>
    <col min="2" max="2" width="20.90625" bestFit="1" customWidth="1"/>
    <col min="3" max="3" width="16.90625" bestFit="1" customWidth="1"/>
    <col min="4" max="4" width="20.36328125" bestFit="1" customWidth="1"/>
    <col min="5" max="5" width="18.36328125" bestFit="1" customWidth="1"/>
    <col min="6" max="6" width="15.08984375" style="56" bestFit="1" customWidth="1"/>
    <col min="7" max="7" width="9.26953125" bestFit="1" customWidth="1"/>
    <col min="8" max="8" width="17.453125" style="16" bestFit="1" customWidth="1"/>
    <col min="9" max="9" width="18.90625" style="16" bestFit="1" customWidth="1"/>
    <col min="10" max="10" width="15.81640625" style="16" bestFit="1" customWidth="1"/>
    <col min="11" max="11" width="17.453125" style="16" bestFit="1" customWidth="1"/>
  </cols>
  <sheetData>
    <row r="1" spans="1:11" x14ac:dyDescent="0.35">
      <c r="A1" s="27" t="s">
        <v>92</v>
      </c>
    </row>
    <row r="2" spans="1:11" x14ac:dyDescent="0.35">
      <c r="A2" s="59" t="s">
        <v>41</v>
      </c>
      <c r="B2" s="60" t="s">
        <v>40</v>
      </c>
      <c r="C2" s="60" t="s">
        <v>72</v>
      </c>
      <c r="D2" s="60" t="s">
        <v>46</v>
      </c>
      <c r="E2" s="60" t="s">
        <v>64</v>
      </c>
      <c r="F2" s="61" t="s">
        <v>14</v>
      </c>
      <c r="G2" s="60" t="s">
        <v>66</v>
      </c>
      <c r="H2" s="62" t="s">
        <v>42</v>
      </c>
      <c r="I2" s="62" t="s">
        <v>73</v>
      </c>
      <c r="J2" s="62" t="s">
        <v>67</v>
      </c>
      <c r="K2" s="63" t="s">
        <v>69</v>
      </c>
    </row>
    <row r="3" spans="1:11" x14ac:dyDescent="0.35">
      <c r="A3" s="6" t="s">
        <v>52</v>
      </c>
      <c r="B3" s="1" t="s">
        <v>28</v>
      </c>
      <c r="C3" s="1" t="s">
        <v>47</v>
      </c>
      <c r="D3" s="1">
        <v>1</v>
      </c>
      <c r="E3" s="1" t="s">
        <v>18</v>
      </c>
      <c r="F3" s="2">
        <v>46207</v>
      </c>
      <c r="G3" s="1">
        <v>7</v>
      </c>
      <c r="H3" s="3">
        <v>100</v>
      </c>
      <c r="I3" s="3">
        <v>90</v>
      </c>
      <c r="J3" s="3">
        <f>Actuals[[#This Row],[Hours]]*Actuals[[#This Row],[Bill Rate/Hour]]</f>
        <v>700</v>
      </c>
      <c r="K3" s="7">
        <f>Actuals[[#This Row],[Hours]]*Actuals[[#This Row],[FLBR Rate/Hour]]</f>
        <v>630</v>
      </c>
    </row>
    <row r="4" spans="1:11" x14ac:dyDescent="0.35">
      <c r="A4" s="6" t="s">
        <v>52</v>
      </c>
      <c r="B4" s="1" t="s">
        <v>28</v>
      </c>
      <c r="C4" s="1" t="s">
        <v>47</v>
      </c>
      <c r="D4" s="1">
        <v>1</v>
      </c>
      <c r="E4" s="1" t="s">
        <v>18</v>
      </c>
      <c r="F4" s="2">
        <v>46214</v>
      </c>
      <c r="G4" s="1">
        <v>5</v>
      </c>
      <c r="H4" s="3">
        <v>100</v>
      </c>
      <c r="I4" s="3">
        <v>90</v>
      </c>
      <c r="J4" s="3">
        <f>Actuals[[#This Row],[Hours]]*Actuals[[#This Row],[Bill Rate/Hour]]</f>
        <v>500</v>
      </c>
      <c r="K4" s="7">
        <f>Actuals[[#This Row],[Hours]]*Actuals[[#This Row],[FLBR Rate/Hour]]</f>
        <v>450</v>
      </c>
    </row>
    <row r="5" spans="1:11" x14ac:dyDescent="0.35">
      <c r="A5" s="6" t="s">
        <v>53</v>
      </c>
      <c r="B5" s="1" t="s">
        <v>29</v>
      </c>
      <c r="C5" s="1" t="s">
        <v>47</v>
      </c>
      <c r="D5" s="1">
        <v>1</v>
      </c>
      <c r="E5" s="1" t="s">
        <v>18</v>
      </c>
      <c r="F5" s="2">
        <v>46214</v>
      </c>
      <c r="G5" s="1">
        <v>5</v>
      </c>
      <c r="H5" s="3">
        <v>100</v>
      </c>
      <c r="I5" s="3">
        <v>90</v>
      </c>
      <c r="J5" s="3">
        <f>Actuals[[#This Row],[Hours]]*Actuals[[#This Row],[Bill Rate/Hour]]</f>
        <v>500</v>
      </c>
      <c r="K5" s="7">
        <f>Actuals[[#This Row],[Hours]]*Actuals[[#This Row],[FLBR Rate/Hour]]</f>
        <v>450</v>
      </c>
    </row>
    <row r="6" spans="1:11" x14ac:dyDescent="0.35">
      <c r="A6" s="6" t="s">
        <v>53</v>
      </c>
      <c r="B6" s="1" t="s">
        <v>29</v>
      </c>
      <c r="C6" s="1" t="s">
        <v>47</v>
      </c>
      <c r="D6" s="1">
        <v>1</v>
      </c>
      <c r="E6" s="1" t="s">
        <v>18</v>
      </c>
      <c r="F6" s="2">
        <v>46221</v>
      </c>
      <c r="G6" s="1">
        <v>8</v>
      </c>
      <c r="H6" s="3">
        <v>100</v>
      </c>
      <c r="I6" s="3">
        <v>90</v>
      </c>
      <c r="J6" s="3">
        <f>Actuals[[#This Row],[Hours]]*Actuals[[#This Row],[Bill Rate/Hour]]</f>
        <v>800</v>
      </c>
      <c r="K6" s="7">
        <f>Actuals[[#This Row],[Hours]]*Actuals[[#This Row],[FLBR Rate/Hour]]</f>
        <v>720</v>
      </c>
    </row>
    <row r="7" spans="1:11" x14ac:dyDescent="0.35">
      <c r="A7" s="6" t="s">
        <v>52</v>
      </c>
      <c r="B7" s="1" t="s">
        <v>28</v>
      </c>
      <c r="C7" s="1" t="s">
        <v>47</v>
      </c>
      <c r="D7" s="1">
        <v>2</v>
      </c>
      <c r="E7" s="1" t="s">
        <v>19</v>
      </c>
      <c r="F7" s="2">
        <v>46207</v>
      </c>
      <c r="G7" s="1">
        <v>8</v>
      </c>
      <c r="H7" s="3">
        <v>100</v>
      </c>
      <c r="I7" s="3">
        <v>90</v>
      </c>
      <c r="J7" s="3">
        <f>Actuals[[#This Row],[Hours]]*Actuals[[#This Row],[Bill Rate/Hour]]</f>
        <v>800</v>
      </c>
      <c r="K7" s="7">
        <f>Actuals[[#This Row],[Hours]]*Actuals[[#This Row],[FLBR Rate/Hour]]</f>
        <v>720</v>
      </c>
    </row>
    <row r="8" spans="1:11" x14ac:dyDescent="0.35">
      <c r="A8" s="6" t="s">
        <v>52</v>
      </c>
      <c r="B8" s="1" t="s">
        <v>28</v>
      </c>
      <c r="C8" s="1" t="s">
        <v>47</v>
      </c>
      <c r="D8" s="1">
        <v>2</v>
      </c>
      <c r="E8" s="1" t="s">
        <v>19</v>
      </c>
      <c r="F8" s="2">
        <v>46214</v>
      </c>
      <c r="G8" s="1">
        <v>8</v>
      </c>
      <c r="H8" s="3">
        <v>100</v>
      </c>
      <c r="I8" s="3">
        <v>90</v>
      </c>
      <c r="J8" s="3">
        <f>Actuals[[#This Row],[Hours]]*Actuals[[#This Row],[Bill Rate/Hour]]</f>
        <v>800</v>
      </c>
      <c r="K8" s="7">
        <f>Actuals[[#This Row],[Hours]]*Actuals[[#This Row],[FLBR Rate/Hour]]</f>
        <v>720</v>
      </c>
    </row>
    <row r="9" spans="1:11" x14ac:dyDescent="0.35">
      <c r="A9" s="6" t="s">
        <v>54</v>
      </c>
      <c r="B9" s="1" t="s">
        <v>30</v>
      </c>
      <c r="C9" s="1" t="s">
        <v>47</v>
      </c>
      <c r="D9" s="1">
        <v>2</v>
      </c>
      <c r="E9" s="1" t="s">
        <v>19</v>
      </c>
      <c r="F9" s="2">
        <v>46214</v>
      </c>
      <c r="G9" s="1">
        <v>11</v>
      </c>
      <c r="H9" s="3">
        <v>100</v>
      </c>
      <c r="I9" s="3">
        <v>90</v>
      </c>
      <c r="J9" s="3">
        <f>Actuals[[#This Row],[Hours]]*Actuals[[#This Row],[Bill Rate/Hour]]</f>
        <v>1100</v>
      </c>
      <c r="K9" s="7">
        <f>Actuals[[#This Row],[Hours]]*Actuals[[#This Row],[FLBR Rate/Hour]]</f>
        <v>990</v>
      </c>
    </row>
    <row r="10" spans="1:11" x14ac:dyDescent="0.35">
      <c r="A10" s="6" t="s">
        <v>54</v>
      </c>
      <c r="B10" s="1" t="s">
        <v>30</v>
      </c>
      <c r="C10" s="1" t="s">
        <v>47</v>
      </c>
      <c r="D10" s="1">
        <v>2</v>
      </c>
      <c r="E10" s="1" t="s">
        <v>19</v>
      </c>
      <c r="F10" s="2">
        <v>46221</v>
      </c>
      <c r="G10" s="1">
        <v>9</v>
      </c>
      <c r="H10" s="3">
        <v>100</v>
      </c>
      <c r="I10" s="3">
        <v>90</v>
      </c>
      <c r="J10" s="3">
        <f>Actuals[[#This Row],[Hours]]*Actuals[[#This Row],[Bill Rate/Hour]]</f>
        <v>900</v>
      </c>
      <c r="K10" s="7">
        <f>Actuals[[#This Row],[Hours]]*Actuals[[#This Row],[FLBR Rate/Hour]]</f>
        <v>810</v>
      </c>
    </row>
    <row r="11" spans="1:11" x14ac:dyDescent="0.35">
      <c r="A11" s="6" t="s">
        <v>54</v>
      </c>
      <c r="B11" s="1" t="s">
        <v>30</v>
      </c>
      <c r="C11" s="1" t="s">
        <v>48</v>
      </c>
      <c r="D11" s="1">
        <v>3</v>
      </c>
      <c r="E11" s="1" t="s">
        <v>20</v>
      </c>
      <c r="F11" s="2">
        <v>46214</v>
      </c>
      <c r="G11" s="1">
        <v>18</v>
      </c>
      <c r="H11" s="3">
        <v>80</v>
      </c>
      <c r="I11" s="3">
        <v>72</v>
      </c>
      <c r="J11" s="3">
        <f>Actuals[[#This Row],[Hours]]*Actuals[[#This Row],[Bill Rate/Hour]]</f>
        <v>1440</v>
      </c>
      <c r="K11" s="7">
        <f>Actuals[[#This Row],[Hours]]*Actuals[[#This Row],[FLBR Rate/Hour]]</f>
        <v>1296</v>
      </c>
    </row>
    <row r="12" spans="1:11" x14ac:dyDescent="0.35">
      <c r="A12" s="6" t="s">
        <v>54</v>
      </c>
      <c r="B12" s="1" t="s">
        <v>30</v>
      </c>
      <c r="C12" s="1" t="s">
        <v>48</v>
      </c>
      <c r="D12" s="1">
        <v>3</v>
      </c>
      <c r="E12" s="1" t="s">
        <v>20</v>
      </c>
      <c r="F12" s="2">
        <v>46221</v>
      </c>
      <c r="G12" s="1">
        <v>17</v>
      </c>
      <c r="H12" s="3">
        <v>80</v>
      </c>
      <c r="I12" s="3">
        <v>72</v>
      </c>
      <c r="J12" s="3">
        <f>Actuals[[#This Row],[Hours]]*Actuals[[#This Row],[Bill Rate/Hour]]</f>
        <v>1360</v>
      </c>
      <c r="K12" s="7">
        <f>Actuals[[#This Row],[Hours]]*Actuals[[#This Row],[FLBR Rate/Hour]]</f>
        <v>1224</v>
      </c>
    </row>
    <row r="13" spans="1:11" x14ac:dyDescent="0.35">
      <c r="A13" s="6" t="s">
        <v>56</v>
      </c>
      <c r="B13" s="1" t="s">
        <v>32</v>
      </c>
      <c r="C13" s="1" t="s">
        <v>48</v>
      </c>
      <c r="D13" s="1">
        <v>3</v>
      </c>
      <c r="E13" s="1" t="s">
        <v>20</v>
      </c>
      <c r="F13" s="2">
        <v>46228</v>
      </c>
      <c r="G13" s="1">
        <v>13</v>
      </c>
      <c r="H13" s="3">
        <v>80</v>
      </c>
      <c r="I13" s="3">
        <v>72</v>
      </c>
      <c r="J13" s="3">
        <f>Actuals[[#This Row],[Hours]]*Actuals[[#This Row],[Bill Rate/Hour]]</f>
        <v>1040</v>
      </c>
      <c r="K13" s="7">
        <f>Actuals[[#This Row],[Hours]]*Actuals[[#This Row],[FLBR Rate/Hour]]</f>
        <v>936</v>
      </c>
    </row>
    <row r="14" spans="1:11" x14ac:dyDescent="0.35">
      <c r="A14" s="6" t="s">
        <v>56</v>
      </c>
      <c r="B14" s="1" t="s">
        <v>32</v>
      </c>
      <c r="C14" s="1" t="s">
        <v>48</v>
      </c>
      <c r="D14" s="1">
        <v>3</v>
      </c>
      <c r="E14" s="1" t="s">
        <v>20</v>
      </c>
      <c r="F14" s="2">
        <v>46235</v>
      </c>
      <c r="G14" s="1">
        <v>11</v>
      </c>
      <c r="H14" s="3">
        <v>84</v>
      </c>
      <c r="I14" s="3">
        <v>75.599999999999994</v>
      </c>
      <c r="J14" s="3">
        <f>Actuals[[#This Row],[Hours]]*Actuals[[#This Row],[Bill Rate/Hour]]</f>
        <v>924</v>
      </c>
      <c r="K14" s="7">
        <f>Actuals[[#This Row],[Hours]]*Actuals[[#This Row],[FLBR Rate/Hour]]</f>
        <v>831.59999999999991</v>
      </c>
    </row>
    <row r="15" spans="1:11" x14ac:dyDescent="0.35">
      <c r="A15" s="6" t="s">
        <v>53</v>
      </c>
      <c r="B15" s="1" t="s">
        <v>29</v>
      </c>
      <c r="C15" s="1" t="s">
        <v>48</v>
      </c>
      <c r="D15" s="1">
        <v>4</v>
      </c>
      <c r="E15" s="1" t="s">
        <v>21</v>
      </c>
      <c r="F15" s="2">
        <v>46214</v>
      </c>
      <c r="G15" s="1">
        <v>7</v>
      </c>
      <c r="H15" s="3">
        <v>80</v>
      </c>
      <c r="I15" s="3">
        <v>72</v>
      </c>
      <c r="J15" s="3">
        <f>Actuals[[#This Row],[Hours]]*Actuals[[#This Row],[Bill Rate/Hour]]</f>
        <v>560</v>
      </c>
      <c r="K15" s="7">
        <f>Actuals[[#This Row],[Hours]]*Actuals[[#This Row],[FLBR Rate/Hour]]</f>
        <v>504</v>
      </c>
    </row>
    <row r="16" spans="1:11" x14ac:dyDescent="0.35">
      <c r="A16" s="6" t="s">
        <v>53</v>
      </c>
      <c r="B16" s="1" t="s">
        <v>29</v>
      </c>
      <c r="C16" s="1" t="s">
        <v>48</v>
      </c>
      <c r="D16" s="1">
        <v>4</v>
      </c>
      <c r="E16" s="1" t="s">
        <v>21</v>
      </c>
      <c r="F16" s="2">
        <v>46221</v>
      </c>
      <c r="G16" s="1">
        <v>14</v>
      </c>
      <c r="H16" s="3">
        <v>80</v>
      </c>
      <c r="I16" s="3">
        <v>72</v>
      </c>
      <c r="J16" s="3">
        <f>Actuals[[#This Row],[Hours]]*Actuals[[#This Row],[Bill Rate/Hour]]</f>
        <v>1120</v>
      </c>
      <c r="K16" s="7">
        <f>Actuals[[#This Row],[Hours]]*Actuals[[#This Row],[FLBR Rate/Hour]]</f>
        <v>1008</v>
      </c>
    </row>
    <row r="17" spans="1:11" x14ac:dyDescent="0.35">
      <c r="A17" s="6" t="s">
        <v>55</v>
      </c>
      <c r="B17" s="1" t="s">
        <v>31</v>
      </c>
      <c r="C17" s="1" t="s">
        <v>48</v>
      </c>
      <c r="D17" s="1">
        <v>4</v>
      </c>
      <c r="E17" s="1" t="s">
        <v>21</v>
      </c>
      <c r="F17" s="2">
        <v>46228</v>
      </c>
      <c r="G17" s="1">
        <v>4</v>
      </c>
      <c r="H17" s="3">
        <v>80</v>
      </c>
      <c r="I17" s="3">
        <v>72</v>
      </c>
      <c r="J17" s="3">
        <f>Actuals[[#This Row],[Hours]]*Actuals[[#This Row],[Bill Rate/Hour]]</f>
        <v>320</v>
      </c>
      <c r="K17" s="7">
        <f>Actuals[[#This Row],[Hours]]*Actuals[[#This Row],[FLBR Rate/Hour]]</f>
        <v>288</v>
      </c>
    </row>
    <row r="18" spans="1:11" x14ac:dyDescent="0.35">
      <c r="A18" s="6" t="s">
        <v>55</v>
      </c>
      <c r="B18" s="1" t="s">
        <v>31</v>
      </c>
      <c r="C18" s="1" t="s">
        <v>48</v>
      </c>
      <c r="D18" s="1">
        <v>4</v>
      </c>
      <c r="E18" s="1" t="s">
        <v>21</v>
      </c>
      <c r="F18" s="2">
        <v>46235</v>
      </c>
      <c r="G18" s="1">
        <v>15</v>
      </c>
      <c r="H18" s="3">
        <v>84</v>
      </c>
      <c r="I18" s="3">
        <v>75.599999999999994</v>
      </c>
      <c r="J18" s="3">
        <f>Actuals[[#This Row],[Hours]]*Actuals[[#This Row],[Bill Rate/Hour]]</f>
        <v>1260</v>
      </c>
      <c r="K18" s="7">
        <f>Actuals[[#This Row],[Hours]]*Actuals[[#This Row],[FLBR Rate/Hour]]</f>
        <v>1134</v>
      </c>
    </row>
    <row r="19" spans="1:11" x14ac:dyDescent="0.35">
      <c r="A19" s="6" t="s">
        <v>55</v>
      </c>
      <c r="B19" s="1" t="s">
        <v>31</v>
      </c>
      <c r="C19" s="1" t="s">
        <v>49</v>
      </c>
      <c r="D19" s="1">
        <v>5</v>
      </c>
      <c r="E19" s="1" t="s">
        <v>22</v>
      </c>
      <c r="F19" s="2">
        <v>46228</v>
      </c>
      <c r="G19" s="1">
        <v>21</v>
      </c>
      <c r="H19" s="3">
        <v>60</v>
      </c>
      <c r="I19" s="3">
        <v>54</v>
      </c>
      <c r="J19" s="3">
        <f>Actuals[[#This Row],[Hours]]*Actuals[[#This Row],[Bill Rate/Hour]]</f>
        <v>1260</v>
      </c>
      <c r="K19" s="7">
        <f>Actuals[[#This Row],[Hours]]*Actuals[[#This Row],[FLBR Rate/Hour]]</f>
        <v>1134</v>
      </c>
    </row>
    <row r="20" spans="1:11" x14ac:dyDescent="0.35">
      <c r="A20" s="6" t="s">
        <v>55</v>
      </c>
      <c r="B20" s="1" t="s">
        <v>31</v>
      </c>
      <c r="C20" s="1" t="s">
        <v>49</v>
      </c>
      <c r="D20" s="1">
        <v>5</v>
      </c>
      <c r="E20" s="1" t="s">
        <v>22</v>
      </c>
      <c r="F20" s="2">
        <v>46235</v>
      </c>
      <c r="G20" s="1">
        <v>15</v>
      </c>
      <c r="H20" s="3">
        <v>63</v>
      </c>
      <c r="I20" s="3">
        <v>56.7</v>
      </c>
      <c r="J20" s="3">
        <f>Actuals[[#This Row],[Hours]]*Actuals[[#This Row],[Bill Rate/Hour]]</f>
        <v>945</v>
      </c>
      <c r="K20" s="7">
        <f>Actuals[[#This Row],[Hours]]*Actuals[[#This Row],[FLBR Rate/Hour]]</f>
        <v>850.5</v>
      </c>
    </row>
    <row r="21" spans="1:11" x14ac:dyDescent="0.35">
      <c r="A21" s="6" t="s">
        <v>57</v>
      </c>
      <c r="B21" s="1" t="s">
        <v>33</v>
      </c>
      <c r="C21" s="1" t="s">
        <v>49</v>
      </c>
      <c r="D21" s="1">
        <v>5</v>
      </c>
      <c r="E21" s="1" t="s">
        <v>22</v>
      </c>
      <c r="F21" s="2">
        <v>46242</v>
      </c>
      <c r="G21" s="1">
        <v>12</v>
      </c>
      <c r="H21" s="3">
        <v>63</v>
      </c>
      <c r="I21" s="3">
        <v>56.7</v>
      </c>
      <c r="J21" s="3">
        <f>Actuals[[#This Row],[Hours]]*Actuals[[#This Row],[Bill Rate/Hour]]</f>
        <v>756</v>
      </c>
      <c r="K21" s="7">
        <f>Actuals[[#This Row],[Hours]]*Actuals[[#This Row],[FLBR Rate/Hour]]</f>
        <v>680.40000000000009</v>
      </c>
    </row>
    <row r="22" spans="1:11" x14ac:dyDescent="0.35">
      <c r="A22" s="6" t="s">
        <v>56</v>
      </c>
      <c r="B22" s="1" t="s">
        <v>32</v>
      </c>
      <c r="C22" s="1" t="s">
        <v>49</v>
      </c>
      <c r="D22" s="1">
        <v>6</v>
      </c>
      <c r="E22" s="1" t="s">
        <v>23</v>
      </c>
      <c r="F22" s="2">
        <v>46228</v>
      </c>
      <c r="G22" s="1">
        <v>23</v>
      </c>
      <c r="H22" s="3">
        <v>60</v>
      </c>
      <c r="I22" s="3">
        <v>54</v>
      </c>
      <c r="J22" s="3">
        <f>Actuals[[#This Row],[Hours]]*Actuals[[#This Row],[Bill Rate/Hour]]</f>
        <v>1380</v>
      </c>
      <c r="K22" s="7">
        <f>Actuals[[#This Row],[Hours]]*Actuals[[#This Row],[FLBR Rate/Hour]]</f>
        <v>1242</v>
      </c>
    </row>
    <row r="23" spans="1:11" x14ac:dyDescent="0.35">
      <c r="A23" s="6" t="s">
        <v>56</v>
      </c>
      <c r="B23" s="1" t="s">
        <v>32</v>
      </c>
      <c r="C23" s="1" t="s">
        <v>49</v>
      </c>
      <c r="D23" s="1">
        <v>6</v>
      </c>
      <c r="E23" s="1" t="s">
        <v>23</v>
      </c>
      <c r="F23" s="2">
        <v>46235</v>
      </c>
      <c r="G23" s="1">
        <v>13</v>
      </c>
      <c r="H23" s="3">
        <v>63</v>
      </c>
      <c r="I23" s="3">
        <v>56.7</v>
      </c>
      <c r="J23" s="3">
        <f>Actuals[[#This Row],[Hours]]*Actuals[[#This Row],[Bill Rate/Hour]]</f>
        <v>819</v>
      </c>
      <c r="K23" s="7">
        <f>Actuals[[#This Row],[Hours]]*Actuals[[#This Row],[FLBR Rate/Hour]]</f>
        <v>737.1</v>
      </c>
    </row>
    <row r="24" spans="1:11" x14ac:dyDescent="0.35">
      <c r="A24" s="6" t="s">
        <v>57</v>
      </c>
      <c r="B24" s="1" t="s">
        <v>33</v>
      </c>
      <c r="C24" s="1" t="s">
        <v>49</v>
      </c>
      <c r="D24" s="1">
        <v>5</v>
      </c>
      <c r="E24" s="1" t="s">
        <v>22</v>
      </c>
      <c r="F24" s="2">
        <v>46249</v>
      </c>
      <c r="G24" s="1">
        <v>14</v>
      </c>
      <c r="H24" s="3">
        <v>63</v>
      </c>
      <c r="I24" s="3">
        <v>56.7</v>
      </c>
      <c r="J24" s="3">
        <f>Actuals[[#This Row],[Hours]]*Actuals[[#This Row],[Bill Rate/Hour]]</f>
        <v>882</v>
      </c>
      <c r="K24" s="7">
        <f>Actuals[[#This Row],[Hours]]*Actuals[[#This Row],[FLBR Rate/Hour]]</f>
        <v>793.80000000000007</v>
      </c>
    </row>
    <row r="25" spans="1:11" x14ac:dyDescent="0.35">
      <c r="A25" s="6" t="s">
        <v>57</v>
      </c>
      <c r="B25" s="1" t="s">
        <v>33</v>
      </c>
      <c r="C25" s="1" t="s">
        <v>51</v>
      </c>
      <c r="D25" s="1">
        <v>9</v>
      </c>
      <c r="E25" s="1" t="s">
        <v>26</v>
      </c>
      <c r="F25" s="2">
        <v>46242</v>
      </c>
      <c r="G25" s="1">
        <v>35</v>
      </c>
      <c r="H25" s="3">
        <v>21</v>
      </c>
      <c r="I25" s="3">
        <v>18.899999999999999</v>
      </c>
      <c r="J25" s="3">
        <f>Actuals[[#This Row],[Hours]]*Actuals[[#This Row],[Bill Rate/Hour]]</f>
        <v>735</v>
      </c>
      <c r="K25" s="7">
        <f>Actuals[[#This Row],[Hours]]*Actuals[[#This Row],[FLBR Rate/Hour]]</f>
        <v>661.5</v>
      </c>
    </row>
    <row r="26" spans="1:11" x14ac:dyDescent="0.35">
      <c r="A26" s="6" t="s">
        <v>57</v>
      </c>
      <c r="B26" s="1" t="s">
        <v>33</v>
      </c>
      <c r="C26" s="1" t="s">
        <v>51</v>
      </c>
      <c r="D26" s="1">
        <v>9</v>
      </c>
      <c r="E26" s="1" t="s">
        <v>26</v>
      </c>
      <c r="F26" s="2">
        <v>46249</v>
      </c>
      <c r="G26" s="1">
        <v>33</v>
      </c>
      <c r="H26" s="3">
        <v>21</v>
      </c>
      <c r="I26" s="3">
        <v>18.899999999999999</v>
      </c>
      <c r="J26" s="3">
        <f>Actuals[[#This Row],[Hours]]*Actuals[[#This Row],[Bill Rate/Hour]]</f>
        <v>693</v>
      </c>
      <c r="K26" s="7">
        <f>Actuals[[#This Row],[Hours]]*Actuals[[#This Row],[FLBR Rate/Hour]]</f>
        <v>623.69999999999993</v>
      </c>
    </row>
    <row r="27" spans="1:11" x14ac:dyDescent="0.35">
      <c r="A27" s="6" t="s">
        <v>58</v>
      </c>
      <c r="B27" s="1" t="s">
        <v>34</v>
      </c>
      <c r="C27" s="1" t="s">
        <v>49</v>
      </c>
      <c r="D27" s="1">
        <v>6</v>
      </c>
      <c r="E27" s="1" t="s">
        <v>23</v>
      </c>
      <c r="F27" s="2">
        <v>46242</v>
      </c>
      <c r="G27" s="1">
        <v>12</v>
      </c>
      <c r="H27" s="3">
        <v>63</v>
      </c>
      <c r="I27" s="3">
        <v>56.7</v>
      </c>
      <c r="J27" s="3">
        <f>Actuals[[#This Row],[Hours]]*Actuals[[#This Row],[Bill Rate/Hour]]</f>
        <v>756</v>
      </c>
      <c r="K27" s="7">
        <f>Actuals[[#This Row],[Hours]]*Actuals[[#This Row],[FLBR Rate/Hour]]</f>
        <v>680.40000000000009</v>
      </c>
    </row>
    <row r="28" spans="1:11" x14ac:dyDescent="0.35">
      <c r="A28" s="6" t="s">
        <v>58</v>
      </c>
      <c r="B28" s="1" t="s">
        <v>34</v>
      </c>
      <c r="C28" s="1" t="s">
        <v>49</v>
      </c>
      <c r="D28" s="1">
        <v>6</v>
      </c>
      <c r="E28" s="1" t="s">
        <v>23</v>
      </c>
      <c r="F28" s="2">
        <v>46249</v>
      </c>
      <c r="G28" s="1">
        <v>11</v>
      </c>
      <c r="H28" s="3">
        <v>63</v>
      </c>
      <c r="I28" s="3">
        <v>56.7</v>
      </c>
      <c r="J28" s="3">
        <f>Actuals[[#This Row],[Hours]]*Actuals[[#This Row],[Bill Rate/Hour]]</f>
        <v>693</v>
      </c>
      <c r="K28" s="7">
        <f>Actuals[[#This Row],[Hours]]*Actuals[[#This Row],[FLBR Rate/Hour]]</f>
        <v>623.70000000000005</v>
      </c>
    </row>
    <row r="29" spans="1:11" x14ac:dyDescent="0.35">
      <c r="A29" s="6" t="s">
        <v>58</v>
      </c>
      <c r="B29" s="1" t="s">
        <v>34</v>
      </c>
      <c r="C29" s="1" t="s">
        <v>50</v>
      </c>
      <c r="D29" s="1">
        <v>7</v>
      </c>
      <c r="E29" s="1" t="s">
        <v>24</v>
      </c>
      <c r="F29" s="2">
        <v>46242</v>
      </c>
      <c r="G29" s="1">
        <v>39</v>
      </c>
      <c r="H29" s="3">
        <v>42</v>
      </c>
      <c r="I29" s="3">
        <v>37.799999999999997</v>
      </c>
      <c r="J29" s="3">
        <f>Actuals[[#This Row],[Hours]]*Actuals[[#This Row],[Bill Rate/Hour]]</f>
        <v>1638</v>
      </c>
      <c r="K29" s="7">
        <f>Actuals[[#This Row],[Hours]]*Actuals[[#This Row],[FLBR Rate/Hour]]</f>
        <v>1474.1999999999998</v>
      </c>
    </row>
    <row r="30" spans="1:11" x14ac:dyDescent="0.35">
      <c r="A30" s="6" t="s">
        <v>58</v>
      </c>
      <c r="B30" s="1" t="s">
        <v>34</v>
      </c>
      <c r="C30" s="1" t="s">
        <v>50</v>
      </c>
      <c r="D30" s="1">
        <v>7</v>
      </c>
      <c r="E30" s="1" t="s">
        <v>24</v>
      </c>
      <c r="F30" s="2">
        <v>46249</v>
      </c>
      <c r="G30" s="1">
        <v>33</v>
      </c>
      <c r="H30" s="3">
        <v>42</v>
      </c>
      <c r="I30" s="3">
        <v>37.799999999999997</v>
      </c>
      <c r="J30" s="3">
        <f>Actuals[[#This Row],[Hours]]*Actuals[[#This Row],[Bill Rate/Hour]]</f>
        <v>1386</v>
      </c>
      <c r="K30" s="7">
        <f>Actuals[[#This Row],[Hours]]*Actuals[[#This Row],[FLBR Rate/Hour]]</f>
        <v>1247.3999999999999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A299-1ABE-49B1-AD2E-B8FCFB4B63B2}">
  <sheetPr>
    <tabColor theme="3" tint="0.89999084444715716"/>
  </sheetPr>
  <dimension ref="A1:Z39"/>
  <sheetViews>
    <sheetView zoomScale="75" zoomScaleNormal="75" workbookViewId="0">
      <pane xSplit="3" ySplit="3" topLeftCell="D4" activePane="bottomRight" state="frozen"/>
      <selection activeCell="G31" sqref="G31"/>
      <selection pane="topRight" activeCell="G31" sqref="G31"/>
      <selection pane="bottomLeft" activeCell="G31" sqref="G31"/>
      <selection pane="bottomRight" activeCell="A2" sqref="A2"/>
    </sheetView>
  </sheetViews>
  <sheetFormatPr defaultRowHeight="14.5" x14ac:dyDescent="0.35"/>
  <cols>
    <col min="1" max="1" width="8.453125" customWidth="1"/>
    <col min="2" max="2" width="20.81640625" bestFit="1" customWidth="1"/>
    <col min="3" max="3" width="16" bestFit="1" customWidth="1"/>
    <col min="4" max="4" width="12.81640625" bestFit="1" customWidth="1"/>
    <col min="5" max="5" width="13.81640625" bestFit="1" customWidth="1"/>
    <col min="6" max="6" width="11.1796875" customWidth="1"/>
    <col min="7" max="7" width="11.453125" bestFit="1" customWidth="1"/>
    <col min="8" max="8" width="13.1796875" bestFit="1" customWidth="1"/>
    <col min="9" max="9" width="11.36328125" style="16" customWidth="1"/>
    <col min="10" max="10" width="12.90625" customWidth="1"/>
    <col min="11" max="12" width="12.1796875" bestFit="1" customWidth="1"/>
    <col min="13" max="13" width="11.26953125" bestFit="1" customWidth="1"/>
    <col min="14" max="17" width="9.08984375" bestFit="1" customWidth="1"/>
    <col min="18" max="26" width="9.7265625" bestFit="1" customWidth="1"/>
  </cols>
  <sheetData>
    <row r="1" spans="1:26" x14ac:dyDescent="0.35">
      <c r="A1" s="27" t="s">
        <v>93</v>
      </c>
    </row>
    <row r="2" spans="1:26" x14ac:dyDescent="0.35">
      <c r="K2" s="42">
        <f>SUM(Input_Forecast[Forecast Bill])</f>
        <v>48825</v>
      </c>
      <c r="L2" s="42">
        <f>SUM(Input_Forecast[Forecast FBLR])</f>
        <v>43942.5</v>
      </c>
      <c r="M2" s="43">
        <f>SUM(Input_Forecast[Forecast Hours])</f>
        <v>955</v>
      </c>
      <c r="N2" s="19">
        <f>_xlfn.XLOOKUP(N$3,'dim dates'!$A:$A,'dim dates'!$B:$B)</f>
        <v>46207</v>
      </c>
      <c r="O2" s="19">
        <f>_xlfn.XLOOKUP(O$3,'dim dates'!$A:$A,'dim dates'!$B:$B)</f>
        <v>46214</v>
      </c>
      <c r="P2" s="19">
        <f>_xlfn.XLOOKUP(P$3,'dim dates'!$A:$A,'dim dates'!$B:$B)</f>
        <v>46221</v>
      </c>
      <c r="Q2" s="19">
        <f>_xlfn.XLOOKUP(Q$3,'dim dates'!$A:$A,'dim dates'!$B:$B)</f>
        <v>46228</v>
      </c>
      <c r="R2" s="19">
        <f>_xlfn.XLOOKUP(R$3,'dim dates'!$A:$A,'dim dates'!$B:$B)</f>
        <v>46235</v>
      </c>
      <c r="S2" s="19">
        <f>_xlfn.XLOOKUP(S$3,'dim dates'!$A:$A,'dim dates'!$B:$B)</f>
        <v>46242</v>
      </c>
      <c r="T2" s="19">
        <f>_xlfn.XLOOKUP(T$3,'dim dates'!$A:$A,'dim dates'!$B:$B)</f>
        <v>46249</v>
      </c>
      <c r="U2" s="19">
        <f>_xlfn.XLOOKUP(U$3,'dim dates'!$A:$A,'dim dates'!$B:$B)</f>
        <v>46256</v>
      </c>
      <c r="V2" s="19">
        <f>_xlfn.XLOOKUP(V$3,'dim dates'!$A:$A,'dim dates'!$B:$B)</f>
        <v>46263</v>
      </c>
      <c r="W2" s="19">
        <f>_xlfn.XLOOKUP(W$3,'dim dates'!$A:$A,'dim dates'!$B:$B)</f>
        <v>46270</v>
      </c>
      <c r="X2" s="19">
        <f>_xlfn.XLOOKUP(X$3,'dim dates'!$A:$A,'dim dates'!$B:$B)</f>
        <v>46277</v>
      </c>
      <c r="Y2" s="19">
        <f>_xlfn.XLOOKUP(Y$3,'dim dates'!$A:$A,'dim dates'!$B:$B)</f>
        <v>46284</v>
      </c>
      <c r="Z2" s="19">
        <f>_xlfn.XLOOKUP(Z$3,'dim dates'!$A:$A,'dim dates'!$B:$B)</f>
        <v>46291</v>
      </c>
    </row>
    <row r="3" spans="1:26" s="24" customFormat="1" ht="29" x14ac:dyDescent="0.35">
      <c r="A3" s="30" t="s">
        <v>41</v>
      </c>
      <c r="B3" s="31" t="s">
        <v>40</v>
      </c>
      <c r="C3" s="31" t="s">
        <v>72</v>
      </c>
      <c r="D3" s="31" t="s">
        <v>46</v>
      </c>
      <c r="E3" s="31" t="s">
        <v>64</v>
      </c>
      <c r="F3" s="31" t="s">
        <v>42</v>
      </c>
      <c r="G3" s="31" t="s">
        <v>44</v>
      </c>
      <c r="H3" s="32" t="s">
        <v>75</v>
      </c>
      <c r="I3" s="64" t="s">
        <v>70</v>
      </c>
      <c r="J3" s="32" t="s">
        <v>71</v>
      </c>
      <c r="K3" s="33" t="s">
        <v>67</v>
      </c>
      <c r="L3" s="33" t="s">
        <v>69</v>
      </c>
      <c r="M3" s="33" t="s">
        <v>68</v>
      </c>
      <c r="N3" s="33" t="s">
        <v>1</v>
      </c>
      <c r="O3" s="33" t="s">
        <v>2</v>
      </c>
      <c r="P3" s="33" t="s">
        <v>3</v>
      </c>
      <c r="Q3" s="33" t="s">
        <v>4</v>
      </c>
      <c r="R3" s="33" t="s">
        <v>5</v>
      </c>
      <c r="S3" s="33" t="s">
        <v>6</v>
      </c>
      <c r="T3" s="33" t="s">
        <v>7</v>
      </c>
      <c r="U3" s="33" t="s">
        <v>8</v>
      </c>
      <c r="V3" s="33" t="s">
        <v>9</v>
      </c>
      <c r="W3" s="33" t="s">
        <v>10</v>
      </c>
      <c r="X3" s="33" t="s">
        <v>11</v>
      </c>
      <c r="Y3" s="33" t="s">
        <v>12</v>
      </c>
      <c r="Z3" s="34" t="s">
        <v>13</v>
      </c>
    </row>
    <row r="4" spans="1:26" x14ac:dyDescent="0.35">
      <c r="A4" s="28" t="s">
        <v>52</v>
      </c>
      <c r="B4" s="22" t="str">
        <f>_xlfn.XLOOKUP('input forecasts'!$A4,'dim tasks'!$A:$A,'dim tasks'!$B:$B,"")</f>
        <v>Requirements gathering</v>
      </c>
      <c r="C4" s="22" t="str">
        <f>_xlfn.XLOOKUP($E4,'dim employees'!$C:$C,'dim employees'!$A:$A,"")</f>
        <v>Director</v>
      </c>
      <c r="D4" s="22">
        <f>_xlfn.XLOOKUP($E4,'dim employees'!$C:$C,'dim employees'!$B:$B,"")</f>
        <v>1</v>
      </c>
      <c r="E4" s="20" t="s">
        <v>18</v>
      </c>
      <c r="F4" s="3">
        <f>IFERROR(_xlfn.MAXIFS('dim rates'!$D:$D,'dim rates'!$B:$B,'input forecasts'!$D4,'dim rates'!$A:$A,F$3),"")</f>
        <v>105</v>
      </c>
      <c r="G4" s="3">
        <f>IFERROR(_xlfn.MAXIFS('dim rates'!$D:$D,'dim rates'!$B:$B,'input forecasts'!$D4,'dim rates'!$A:$A,G$3),"")</f>
        <v>94.5</v>
      </c>
      <c r="H4" s="1">
        <f>SUMIFS(actuals!$G:$G,actuals!$A:$A,$A4,actuals!$D:$D,$D4)</f>
        <v>12</v>
      </c>
      <c r="I4" s="3">
        <f>SUMIFS(actuals!$J:$J,actuals!$A:$A,$A4,actuals!$D:$D,$D4)</f>
        <v>1200</v>
      </c>
      <c r="J4" s="3">
        <f>SUMIFS(actuals!$K:$K,actuals!$A:$A,$A4,actuals!$D:$D,$D4)</f>
        <v>1080</v>
      </c>
      <c r="K4" s="40">
        <f>Input_Forecast[[#This Row],[Bill Rate/Hour]]*Input_Forecast[[#This Row],[Forecast Hours]]</f>
        <v>1050</v>
      </c>
      <c r="L4" s="40">
        <f>Input_Forecast[[#This Row],[FBLR/Hour]]*Input_Forecast[[#This Row],[Forecast Hours]]</f>
        <v>945</v>
      </c>
      <c r="M4" s="1">
        <f>SUM(Input_Forecast[[#This Row],[W1]:[W13]])</f>
        <v>10</v>
      </c>
      <c r="N4" s="18">
        <v>5</v>
      </c>
      <c r="O4" s="18">
        <v>5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29"/>
    </row>
    <row r="5" spans="1:26" x14ac:dyDescent="0.35">
      <c r="A5" s="28" t="s">
        <v>52</v>
      </c>
      <c r="B5" s="22" t="str">
        <f>_xlfn.XLOOKUP('input forecasts'!$A5,'dim tasks'!$A:$A,'dim tasks'!$B:$B,"")</f>
        <v>Requirements gathering</v>
      </c>
      <c r="C5" s="22" t="str">
        <f>_xlfn.XLOOKUP($E5,'dim employees'!$C:$C,'dim employees'!$A:$A,"")</f>
        <v>Director</v>
      </c>
      <c r="D5" s="22">
        <f>_xlfn.XLOOKUP($E5,'dim employees'!$C:$C,'dim employees'!$B:$B,"")</f>
        <v>2</v>
      </c>
      <c r="E5" s="20" t="s">
        <v>19</v>
      </c>
      <c r="F5" s="3">
        <f>IFERROR(_xlfn.MAXIFS('dim rates'!$D:$D,'dim rates'!$B:$B,'input forecasts'!$D5,'dim rates'!$A:$A,F$3),"")</f>
        <v>105</v>
      </c>
      <c r="G5" s="3">
        <f>IFERROR(_xlfn.MAXIFS('dim rates'!$D:$D,'dim rates'!$B:$B,'input forecasts'!$D5,'dim rates'!$A:$A,G$3),"")</f>
        <v>94.5</v>
      </c>
      <c r="H5" s="1">
        <f>SUMIFS(actuals!$G:$G,actuals!$A:$A,$A5,actuals!$D:$D,$D5)</f>
        <v>16</v>
      </c>
      <c r="I5" s="3">
        <f>SUMIFS(actuals!$J:$J,actuals!$A:$A,$A5,actuals!$D:$D,$D5)</f>
        <v>1600</v>
      </c>
      <c r="J5" s="40">
        <f>SUMIFS(actuals!$K:$K,actuals!$A:$A,$A5,actuals!$D:$D,$D5)</f>
        <v>1440</v>
      </c>
      <c r="K5" s="40">
        <f>Input_Forecast[[#This Row],[Bill Rate/Hour]]*Input_Forecast[[#This Row],[Forecast Hours]]</f>
        <v>2100</v>
      </c>
      <c r="L5" s="40">
        <f>Input_Forecast[[#This Row],[FBLR/Hour]]*Input_Forecast[[#This Row],[Forecast Hours]]</f>
        <v>1890</v>
      </c>
      <c r="M5" s="1">
        <f>SUM(Input_Forecast[[#This Row],[W1]:[W13]])</f>
        <v>20</v>
      </c>
      <c r="N5" s="18">
        <v>10</v>
      </c>
      <c r="O5" s="18">
        <v>10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29"/>
    </row>
    <row r="6" spans="1:26" x14ac:dyDescent="0.35">
      <c r="A6" s="28"/>
      <c r="B6" s="22">
        <f>_xlfn.XLOOKUP('input forecasts'!$A6,'dim tasks'!$A:$A,'dim tasks'!$B:$B,"")</f>
        <v>0</v>
      </c>
      <c r="C6" s="22">
        <f>_xlfn.XLOOKUP($E6,'dim employees'!$C:$C,'dim employees'!$A:$A,"")</f>
        <v>0</v>
      </c>
      <c r="D6" s="22">
        <f>_xlfn.XLOOKUP($E6,'dim employees'!$C:$C,'dim employees'!$B:$B,"")</f>
        <v>0</v>
      </c>
      <c r="E6" s="20"/>
      <c r="F6" s="3">
        <f>IFERROR(_xlfn.MAXIFS('dim rates'!$D:$D,'dim rates'!$B:$B,'input forecasts'!$D6,'dim rates'!$A:$A,F$3),"")</f>
        <v>0</v>
      </c>
      <c r="G6" s="3">
        <f>IFERROR(_xlfn.MAXIFS('dim rates'!$D:$D,'dim rates'!$B:$B,'input forecasts'!$D6,'dim rates'!$A:$A,G$3),"")</f>
        <v>0</v>
      </c>
      <c r="H6" s="1">
        <f>SUMIFS(actuals!$G:$G,actuals!$A:$A,$A6,actuals!$D:$D,$D6)</f>
        <v>0</v>
      </c>
      <c r="I6" s="3">
        <f>SUMIFS(actuals!$J:$J,actuals!$A:$A,$A6,actuals!$D:$D,$D6)</f>
        <v>0</v>
      </c>
      <c r="J6" s="40">
        <f>SUMIFS(actuals!$K:$K,actuals!$A:$A,$A6,actuals!$D:$D,$D6)</f>
        <v>0</v>
      </c>
      <c r="K6" s="40">
        <f>Input_Forecast[[#This Row],[Bill Rate/Hour]]*Input_Forecast[[#This Row],[Forecast Hours]]</f>
        <v>0</v>
      </c>
      <c r="L6" s="40">
        <f>Input_Forecast[[#This Row],[FBLR/Hour]]*Input_Forecast[[#This Row],[Forecast Hours]]</f>
        <v>0</v>
      </c>
      <c r="M6" s="1">
        <f>SUM(Input_Forecast[[#This Row],[W1]:[W13]])</f>
        <v>0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9"/>
    </row>
    <row r="7" spans="1:26" x14ac:dyDescent="0.35">
      <c r="A7" s="28" t="s">
        <v>53</v>
      </c>
      <c r="B7" s="22" t="str">
        <f>_xlfn.XLOOKUP('input forecasts'!$A7,'dim tasks'!$A:$A,'dim tasks'!$B:$B,"")</f>
        <v>Scope definition</v>
      </c>
      <c r="C7" s="22" t="str">
        <f>_xlfn.XLOOKUP($E7,'dim employees'!$C:$C,'dim employees'!$A:$A,"")</f>
        <v>Director</v>
      </c>
      <c r="D7" s="22">
        <f>_xlfn.XLOOKUP($E7,'dim employees'!$C:$C,'dim employees'!$B:$B,"")</f>
        <v>1</v>
      </c>
      <c r="E7" s="20" t="s">
        <v>18</v>
      </c>
      <c r="F7" s="3">
        <f>IFERROR(_xlfn.MAXIFS('dim rates'!$D:$D,'dim rates'!$B:$B,'input forecasts'!$D7,'dim rates'!$A:$A,F$3),"")</f>
        <v>105</v>
      </c>
      <c r="G7" s="3">
        <f>IFERROR(_xlfn.MAXIFS('dim rates'!$D:$D,'dim rates'!$B:$B,'input forecasts'!$D7,'dim rates'!$A:$A,G$3),"")</f>
        <v>94.5</v>
      </c>
      <c r="H7" s="1">
        <f>SUMIFS(actuals!$G:$G,actuals!$A:$A,$A7,actuals!$D:$D,$D7)</f>
        <v>13</v>
      </c>
      <c r="I7" s="3">
        <f>SUMIFS(actuals!$J:$J,actuals!$A:$A,$A7,actuals!$D:$D,$D7)</f>
        <v>1300</v>
      </c>
      <c r="J7" s="40">
        <f>SUMIFS(actuals!$K:$K,actuals!$A:$A,$A7,actuals!$D:$D,$D7)</f>
        <v>1170</v>
      </c>
      <c r="K7" s="40">
        <f>Input_Forecast[[#This Row],[Bill Rate/Hour]]*Input_Forecast[[#This Row],[Forecast Hours]]</f>
        <v>1050</v>
      </c>
      <c r="L7" s="40">
        <f>Input_Forecast[[#This Row],[FBLR/Hour]]*Input_Forecast[[#This Row],[Forecast Hours]]</f>
        <v>945</v>
      </c>
      <c r="M7" s="1">
        <f>SUM(Input_Forecast[[#This Row],[W1]:[W13]])</f>
        <v>10</v>
      </c>
      <c r="N7" s="18"/>
      <c r="O7" s="18">
        <v>5</v>
      </c>
      <c r="P7" s="18">
        <v>5</v>
      </c>
      <c r="Q7" s="18"/>
      <c r="R7" s="18"/>
      <c r="S7" s="18"/>
      <c r="T7" s="18"/>
      <c r="U7" s="18"/>
      <c r="V7" s="18"/>
      <c r="W7" s="18"/>
      <c r="X7" s="18"/>
      <c r="Y7" s="18"/>
      <c r="Z7" s="29"/>
    </row>
    <row r="8" spans="1:26" x14ac:dyDescent="0.35">
      <c r="A8" s="28" t="s">
        <v>53</v>
      </c>
      <c r="B8" s="22" t="str">
        <f>_xlfn.XLOOKUP('input forecasts'!$A8,'dim tasks'!$A:$A,'dim tasks'!$B:$B,"")</f>
        <v>Scope definition</v>
      </c>
      <c r="C8" s="22" t="str">
        <f>_xlfn.XLOOKUP($E8,'dim employees'!$C:$C,'dim employees'!$A:$A,"")</f>
        <v>Manager</v>
      </c>
      <c r="D8" s="22">
        <f>_xlfn.XLOOKUP($E8,'dim employees'!$C:$C,'dim employees'!$B:$B,"")</f>
        <v>4</v>
      </c>
      <c r="E8" s="20" t="s">
        <v>21</v>
      </c>
      <c r="F8" s="3">
        <f>IFERROR(_xlfn.MAXIFS('dim rates'!$D:$D,'dim rates'!$B:$B,'input forecasts'!$D8,'dim rates'!$A:$A,F$3),"")</f>
        <v>84</v>
      </c>
      <c r="G8" s="3">
        <f>IFERROR(_xlfn.MAXIFS('dim rates'!$D:$D,'dim rates'!$B:$B,'input forecasts'!$D8,'dim rates'!$A:$A,G$3),"")</f>
        <v>75.599999999999994</v>
      </c>
      <c r="H8" s="1">
        <f>SUMIFS(actuals!$G:$G,actuals!$A:$A,$A8,actuals!$D:$D,$D8)</f>
        <v>21</v>
      </c>
      <c r="I8" s="3">
        <f>SUMIFS(actuals!$J:$J,actuals!$A:$A,$A8,actuals!$D:$D,$D8)</f>
        <v>1680</v>
      </c>
      <c r="J8" s="40">
        <f>SUMIFS(actuals!$K:$K,actuals!$A:$A,$A8,actuals!$D:$D,$D8)</f>
        <v>1512</v>
      </c>
      <c r="K8" s="40">
        <f>Input_Forecast[[#This Row],[Bill Rate/Hour]]*Input_Forecast[[#This Row],[Forecast Hours]]</f>
        <v>1680</v>
      </c>
      <c r="L8" s="40">
        <f>Input_Forecast[[#This Row],[FBLR/Hour]]*Input_Forecast[[#This Row],[Forecast Hours]]</f>
        <v>1512</v>
      </c>
      <c r="M8" s="1">
        <f>SUM(Input_Forecast[[#This Row],[W1]:[W13]])</f>
        <v>20</v>
      </c>
      <c r="N8" s="18"/>
      <c r="O8" s="18">
        <v>10</v>
      </c>
      <c r="P8" s="18">
        <v>10</v>
      </c>
      <c r="Q8" s="18"/>
      <c r="R8" s="18"/>
      <c r="S8" s="18"/>
      <c r="T8" s="18"/>
      <c r="U8" s="18"/>
      <c r="V8" s="18"/>
      <c r="W8" s="18"/>
      <c r="X8" s="18"/>
      <c r="Y8" s="18"/>
      <c r="Z8" s="29"/>
    </row>
    <row r="9" spans="1:26" x14ac:dyDescent="0.35">
      <c r="A9" s="28"/>
      <c r="B9" s="22">
        <f>_xlfn.XLOOKUP('input forecasts'!$A9,'dim tasks'!$A:$A,'dim tasks'!$B:$B,"")</f>
        <v>0</v>
      </c>
      <c r="C9" s="22">
        <f>_xlfn.XLOOKUP($E9,'dim employees'!$C:$C,'dim employees'!$A:$A,"")</f>
        <v>0</v>
      </c>
      <c r="D9" s="22">
        <f>_xlfn.XLOOKUP($E9,'dim employees'!$C:$C,'dim employees'!$B:$B,"")</f>
        <v>0</v>
      </c>
      <c r="E9" s="20"/>
      <c r="F9" s="3">
        <f>IFERROR(_xlfn.MAXIFS('dim rates'!$D:$D,'dim rates'!$B:$B,'input forecasts'!$D9,'dim rates'!$A:$A,F$3),"")</f>
        <v>0</v>
      </c>
      <c r="G9" s="3">
        <f>IFERROR(_xlfn.MAXIFS('dim rates'!$D:$D,'dim rates'!$B:$B,'input forecasts'!$D9,'dim rates'!$A:$A,G$3),"")</f>
        <v>0</v>
      </c>
      <c r="H9" s="1">
        <f>SUMIFS(actuals!$G:$G,actuals!$A:$A,$A9,actuals!$D:$D,$D9)</f>
        <v>0</v>
      </c>
      <c r="I9" s="3">
        <f>SUMIFS(actuals!$J:$J,actuals!$A:$A,$A9,actuals!$D:$D,$D9)</f>
        <v>0</v>
      </c>
      <c r="J9" s="40">
        <f>SUMIFS(actuals!$K:$K,actuals!$A:$A,$A9,actuals!$D:$D,$D9)</f>
        <v>0</v>
      </c>
      <c r="K9" s="40">
        <f>Input_Forecast[[#This Row],[Bill Rate/Hour]]*Input_Forecast[[#This Row],[Forecast Hours]]</f>
        <v>0</v>
      </c>
      <c r="L9" s="40">
        <f>Input_Forecast[[#This Row],[FBLR/Hour]]*Input_Forecast[[#This Row],[Forecast Hours]]</f>
        <v>0</v>
      </c>
      <c r="M9" s="1">
        <f>SUM(Input_Forecast[[#This Row],[W1]:[W13]])</f>
        <v>0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9"/>
    </row>
    <row r="10" spans="1:26" x14ac:dyDescent="0.35">
      <c r="A10" s="28" t="s">
        <v>54</v>
      </c>
      <c r="B10" s="22" t="str">
        <f>_xlfn.XLOOKUP('input forecasts'!$A10,'dim tasks'!$A:$A,'dim tasks'!$B:$B,"")</f>
        <v>Project planning</v>
      </c>
      <c r="C10" s="22" t="str">
        <f>_xlfn.XLOOKUP($E10,'dim employees'!$C:$C,'dim employees'!$A:$A,"")</f>
        <v>Director</v>
      </c>
      <c r="D10" s="22">
        <f>_xlfn.XLOOKUP($E10,'dim employees'!$C:$C,'dim employees'!$B:$B,"")</f>
        <v>2</v>
      </c>
      <c r="E10" s="20" t="s">
        <v>19</v>
      </c>
      <c r="F10" s="3">
        <f>IFERROR(_xlfn.MAXIFS('dim rates'!$D:$D,'dim rates'!$B:$B,'input forecasts'!$D10,'dim rates'!$A:$A,F$3),"")</f>
        <v>105</v>
      </c>
      <c r="G10" s="3">
        <f>IFERROR(_xlfn.MAXIFS('dim rates'!$D:$D,'dim rates'!$B:$B,'input forecasts'!$D10,'dim rates'!$A:$A,G$3),"")</f>
        <v>94.5</v>
      </c>
      <c r="H10" s="1">
        <f>SUMIFS(actuals!$G:$G,actuals!$A:$A,$A10,actuals!$D:$D,$D10)</f>
        <v>20</v>
      </c>
      <c r="I10" s="3">
        <f>SUMIFS(actuals!$J:$J,actuals!$A:$A,$A10,actuals!$D:$D,$D10)</f>
        <v>2000</v>
      </c>
      <c r="J10" s="40">
        <f>SUMIFS(actuals!$K:$K,actuals!$A:$A,$A10,actuals!$D:$D,$D10)</f>
        <v>1800</v>
      </c>
      <c r="K10" s="40">
        <f>Input_Forecast[[#This Row],[Bill Rate/Hour]]*Input_Forecast[[#This Row],[Forecast Hours]]</f>
        <v>2100</v>
      </c>
      <c r="L10" s="40">
        <f>Input_Forecast[[#This Row],[FBLR/Hour]]*Input_Forecast[[#This Row],[Forecast Hours]]</f>
        <v>1890</v>
      </c>
      <c r="M10" s="1">
        <f>SUM(Input_Forecast[[#This Row],[W1]:[W13]])</f>
        <v>20</v>
      </c>
      <c r="N10" s="18"/>
      <c r="O10" s="18">
        <v>10</v>
      </c>
      <c r="P10" s="18">
        <v>10</v>
      </c>
      <c r="Q10" s="18"/>
      <c r="R10" s="18"/>
      <c r="S10" s="18"/>
      <c r="T10" s="18"/>
      <c r="U10" s="18"/>
      <c r="V10" s="18"/>
      <c r="W10" s="18"/>
      <c r="X10" s="18"/>
      <c r="Y10" s="18"/>
      <c r="Z10" s="29"/>
    </row>
    <row r="11" spans="1:26" x14ac:dyDescent="0.35">
      <c r="A11" s="28" t="s">
        <v>54</v>
      </c>
      <c r="B11" s="22" t="str">
        <f>_xlfn.XLOOKUP('input forecasts'!$A11,'dim tasks'!$A:$A,'dim tasks'!$B:$B,"")</f>
        <v>Project planning</v>
      </c>
      <c r="C11" s="22" t="str">
        <f>_xlfn.XLOOKUP($E11,'dim employees'!$C:$C,'dim employees'!$A:$A,"")</f>
        <v>Manager</v>
      </c>
      <c r="D11" s="22">
        <f>_xlfn.XLOOKUP($E11,'dim employees'!$C:$C,'dim employees'!$B:$B,"")</f>
        <v>3</v>
      </c>
      <c r="E11" s="20" t="s">
        <v>20</v>
      </c>
      <c r="F11" s="3">
        <f>IFERROR(_xlfn.MAXIFS('dim rates'!$D:$D,'dim rates'!$B:$B,'input forecasts'!$D11,'dim rates'!$A:$A,F$3),"")</f>
        <v>84</v>
      </c>
      <c r="G11" s="3">
        <f>IFERROR(_xlfn.MAXIFS('dim rates'!$D:$D,'dim rates'!$B:$B,'input forecasts'!$D11,'dim rates'!$A:$A,G$3),"")</f>
        <v>75.599999999999994</v>
      </c>
      <c r="H11" s="1">
        <f>SUMIFS(actuals!$G:$G,actuals!$A:$A,$A11,actuals!$D:$D,$D11)</f>
        <v>35</v>
      </c>
      <c r="I11" s="3">
        <f>SUMIFS(actuals!$J:$J,actuals!$A:$A,$A11,actuals!$D:$D,$D11)</f>
        <v>2800</v>
      </c>
      <c r="J11" s="40">
        <f>SUMIFS(actuals!$K:$K,actuals!$A:$A,$A11,actuals!$D:$D,$D11)</f>
        <v>2520</v>
      </c>
      <c r="K11" s="40">
        <f>Input_Forecast[[#This Row],[Bill Rate/Hour]]*Input_Forecast[[#This Row],[Forecast Hours]]</f>
        <v>3360</v>
      </c>
      <c r="L11" s="40">
        <f>Input_Forecast[[#This Row],[FBLR/Hour]]*Input_Forecast[[#This Row],[Forecast Hours]]</f>
        <v>3024</v>
      </c>
      <c r="M11" s="1">
        <f>SUM(Input_Forecast[[#This Row],[W1]:[W13]])</f>
        <v>40</v>
      </c>
      <c r="N11" s="18"/>
      <c r="O11" s="18">
        <v>20</v>
      </c>
      <c r="P11" s="18">
        <v>20</v>
      </c>
      <c r="Q11" s="18"/>
      <c r="R11" s="18"/>
      <c r="S11" s="18"/>
      <c r="T11" s="18"/>
      <c r="U11" s="18"/>
      <c r="V11" s="18"/>
      <c r="W11" s="18"/>
      <c r="X11" s="18"/>
      <c r="Y11" s="18"/>
      <c r="Z11" s="29"/>
    </row>
    <row r="12" spans="1:26" x14ac:dyDescent="0.35">
      <c r="A12" s="28"/>
      <c r="B12" s="22">
        <f>_xlfn.XLOOKUP('input forecasts'!$A12,'dim tasks'!$A:$A,'dim tasks'!$B:$B,"")</f>
        <v>0</v>
      </c>
      <c r="C12" s="22">
        <f>_xlfn.XLOOKUP($E12,'dim employees'!$C:$C,'dim employees'!$A:$A,"")</f>
        <v>0</v>
      </c>
      <c r="D12" s="22">
        <f>_xlfn.XLOOKUP($E12,'dim employees'!$C:$C,'dim employees'!$B:$B,"")</f>
        <v>0</v>
      </c>
      <c r="E12" s="20"/>
      <c r="F12" s="3">
        <f>IFERROR(_xlfn.MAXIFS('dim rates'!$D:$D,'dim rates'!$B:$B,'input forecasts'!$D12,'dim rates'!$A:$A,F$3),"")</f>
        <v>0</v>
      </c>
      <c r="G12" s="3">
        <f>IFERROR(_xlfn.MAXIFS('dim rates'!$D:$D,'dim rates'!$B:$B,'input forecasts'!$D12,'dim rates'!$A:$A,G$3),"")</f>
        <v>0</v>
      </c>
      <c r="H12" s="1">
        <f>SUMIFS(actuals!$G:$G,actuals!$A:$A,$A12,actuals!$D:$D,$D12)</f>
        <v>0</v>
      </c>
      <c r="I12" s="3">
        <f>SUMIFS(actuals!$J:$J,actuals!$A:$A,$A12,actuals!$D:$D,$D12)</f>
        <v>0</v>
      </c>
      <c r="J12" s="40">
        <f>SUMIFS(actuals!$K:$K,actuals!$A:$A,$A12,actuals!$D:$D,$D12)</f>
        <v>0</v>
      </c>
      <c r="K12" s="40">
        <f>Input_Forecast[[#This Row],[Bill Rate/Hour]]*Input_Forecast[[#This Row],[Forecast Hours]]</f>
        <v>0</v>
      </c>
      <c r="L12" s="40">
        <f>Input_Forecast[[#This Row],[FBLR/Hour]]*Input_Forecast[[#This Row],[Forecast Hours]]</f>
        <v>0</v>
      </c>
      <c r="M12" s="1">
        <f>SUM(Input_Forecast[[#This Row],[W1]:[W13]])</f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9"/>
    </row>
    <row r="13" spans="1:26" x14ac:dyDescent="0.35">
      <c r="A13" s="28" t="s">
        <v>55</v>
      </c>
      <c r="B13" s="22" t="str">
        <f>_xlfn.XLOOKUP('input forecasts'!$A13,'dim tasks'!$A:$A,'dim tasks'!$B:$B,"")</f>
        <v>Solution design</v>
      </c>
      <c r="C13" s="22" t="str">
        <f>_xlfn.XLOOKUP($E13,'dim employees'!$C:$C,'dim employees'!$A:$A,"")</f>
        <v>Manager</v>
      </c>
      <c r="D13" s="22">
        <f>_xlfn.XLOOKUP($E13,'dim employees'!$C:$C,'dim employees'!$B:$B,"")</f>
        <v>4</v>
      </c>
      <c r="E13" s="20" t="s">
        <v>21</v>
      </c>
      <c r="F13" s="3">
        <f>IFERROR(_xlfn.MAXIFS('dim rates'!$D:$D,'dim rates'!$B:$B,'input forecasts'!$D13,'dim rates'!$A:$A,F$3),"")</f>
        <v>84</v>
      </c>
      <c r="G13" s="3">
        <f>IFERROR(_xlfn.MAXIFS('dim rates'!$D:$D,'dim rates'!$B:$B,'input forecasts'!$D13,'dim rates'!$A:$A,G$3),"")</f>
        <v>75.599999999999994</v>
      </c>
      <c r="H13" s="1">
        <f>SUMIFS(actuals!$G:$G,actuals!$A:$A,$A13,actuals!$D:$D,$D13)</f>
        <v>19</v>
      </c>
      <c r="I13" s="3">
        <f>SUMIFS(actuals!$J:$J,actuals!$A:$A,$A13,actuals!$D:$D,$D13)</f>
        <v>1580</v>
      </c>
      <c r="J13" s="40">
        <f>SUMIFS(actuals!$K:$K,actuals!$A:$A,$A13,actuals!$D:$D,$D13)</f>
        <v>1422</v>
      </c>
      <c r="K13" s="40">
        <f>Input_Forecast[[#This Row],[Bill Rate/Hour]]*Input_Forecast[[#This Row],[Forecast Hours]]</f>
        <v>1680</v>
      </c>
      <c r="L13" s="40">
        <f>Input_Forecast[[#This Row],[FBLR/Hour]]*Input_Forecast[[#This Row],[Forecast Hours]]</f>
        <v>1512</v>
      </c>
      <c r="M13" s="1">
        <f>SUM(Input_Forecast[[#This Row],[W1]:[W13]])</f>
        <v>20</v>
      </c>
      <c r="N13" s="18"/>
      <c r="O13" s="18"/>
      <c r="P13" s="18"/>
      <c r="Q13" s="18">
        <v>10</v>
      </c>
      <c r="R13" s="18">
        <v>10</v>
      </c>
      <c r="S13" s="18"/>
      <c r="T13" s="18"/>
      <c r="U13" s="18"/>
      <c r="V13" s="18"/>
      <c r="W13" s="18"/>
      <c r="X13" s="18"/>
      <c r="Y13" s="18"/>
      <c r="Z13" s="29"/>
    </row>
    <row r="14" spans="1:26" x14ac:dyDescent="0.35">
      <c r="A14" s="28" t="s">
        <v>55</v>
      </c>
      <c r="B14" s="22" t="str">
        <f>_xlfn.XLOOKUP('input forecasts'!$A14,'dim tasks'!$A:$A,'dim tasks'!$B:$B,"")</f>
        <v>Solution design</v>
      </c>
      <c r="C14" s="22" t="str">
        <f>_xlfn.XLOOKUP($E14,'dim employees'!$C:$C,'dim employees'!$A:$A,"")</f>
        <v>Senior Engineer</v>
      </c>
      <c r="D14" s="22">
        <f>_xlfn.XLOOKUP($E14,'dim employees'!$C:$C,'dim employees'!$B:$B,"")</f>
        <v>5</v>
      </c>
      <c r="E14" s="20" t="s">
        <v>22</v>
      </c>
      <c r="F14" s="3">
        <f>IFERROR(_xlfn.MAXIFS('dim rates'!$D:$D,'dim rates'!$B:$B,'input forecasts'!$D14,'dim rates'!$A:$A,F$3),"")</f>
        <v>63</v>
      </c>
      <c r="G14" s="3">
        <f>IFERROR(_xlfn.MAXIFS('dim rates'!$D:$D,'dim rates'!$B:$B,'input forecasts'!$D14,'dim rates'!$A:$A,G$3),"")</f>
        <v>56.7</v>
      </c>
      <c r="H14" s="1">
        <f>SUMIFS(actuals!$G:$G,actuals!$A:$A,$A14,actuals!$D:$D,$D14)</f>
        <v>36</v>
      </c>
      <c r="I14" s="3">
        <f>SUMIFS(actuals!$J:$J,actuals!$A:$A,$A14,actuals!$D:$D,$D14)</f>
        <v>2205</v>
      </c>
      <c r="J14" s="40">
        <f>SUMIFS(actuals!$K:$K,actuals!$A:$A,$A14,actuals!$D:$D,$D14)</f>
        <v>1984.5</v>
      </c>
      <c r="K14" s="40">
        <f>Input_Forecast[[#This Row],[Bill Rate/Hour]]*Input_Forecast[[#This Row],[Forecast Hours]]</f>
        <v>2520</v>
      </c>
      <c r="L14" s="40">
        <f>Input_Forecast[[#This Row],[FBLR/Hour]]*Input_Forecast[[#This Row],[Forecast Hours]]</f>
        <v>2268</v>
      </c>
      <c r="M14" s="1">
        <f>SUM(Input_Forecast[[#This Row],[W1]:[W13]])</f>
        <v>40</v>
      </c>
      <c r="N14" s="18"/>
      <c r="O14" s="18"/>
      <c r="P14" s="18"/>
      <c r="Q14" s="18">
        <v>20</v>
      </c>
      <c r="R14" s="18">
        <v>20</v>
      </c>
      <c r="S14" s="18"/>
      <c r="T14" s="18"/>
      <c r="U14" s="18"/>
      <c r="V14" s="18"/>
      <c r="W14" s="18"/>
      <c r="X14" s="18"/>
      <c r="Y14" s="18"/>
      <c r="Z14" s="29"/>
    </row>
    <row r="15" spans="1:26" x14ac:dyDescent="0.35">
      <c r="A15" s="28"/>
      <c r="B15" s="22">
        <f>_xlfn.XLOOKUP('input forecasts'!$A15,'dim tasks'!$A:$A,'dim tasks'!$B:$B,"")</f>
        <v>0</v>
      </c>
      <c r="C15" s="22">
        <f>_xlfn.XLOOKUP($E15,'dim employees'!$C:$C,'dim employees'!$A:$A,"")</f>
        <v>0</v>
      </c>
      <c r="D15" s="22">
        <f>_xlfn.XLOOKUP($E15,'dim employees'!$C:$C,'dim employees'!$B:$B,"")</f>
        <v>0</v>
      </c>
      <c r="E15" s="20"/>
      <c r="F15" s="3">
        <f>IFERROR(_xlfn.MAXIFS('dim rates'!$D:$D,'dim rates'!$B:$B,'input forecasts'!$D15,'dim rates'!$A:$A,F$3),"")</f>
        <v>0</v>
      </c>
      <c r="G15" s="3">
        <f>IFERROR(_xlfn.MAXIFS('dim rates'!$D:$D,'dim rates'!$B:$B,'input forecasts'!$D15,'dim rates'!$A:$A,G$3),"")</f>
        <v>0</v>
      </c>
      <c r="H15" s="1">
        <f>SUMIFS(actuals!$G:$G,actuals!$A:$A,$A15,actuals!$D:$D,$D15)</f>
        <v>0</v>
      </c>
      <c r="I15" s="3">
        <f>SUMIFS(actuals!$J:$J,actuals!$A:$A,$A15,actuals!$D:$D,$D15)</f>
        <v>0</v>
      </c>
      <c r="J15" s="40">
        <f>SUMIFS(actuals!$K:$K,actuals!$A:$A,$A15,actuals!$D:$D,$D15)</f>
        <v>0</v>
      </c>
      <c r="K15" s="40">
        <f>Input_Forecast[[#This Row],[Bill Rate/Hour]]*Input_Forecast[[#This Row],[Forecast Hours]]</f>
        <v>0</v>
      </c>
      <c r="L15" s="40">
        <f>Input_Forecast[[#This Row],[FBLR/Hour]]*Input_Forecast[[#This Row],[Forecast Hours]]</f>
        <v>0</v>
      </c>
      <c r="M15" s="1">
        <f>SUM(Input_Forecast[[#This Row],[W1]:[W13]])</f>
        <v>0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9"/>
    </row>
    <row r="16" spans="1:26" x14ac:dyDescent="0.35">
      <c r="A16" s="28" t="s">
        <v>56</v>
      </c>
      <c r="B16" s="22" t="str">
        <f>_xlfn.XLOOKUP('input forecasts'!$A16,'dim tasks'!$A:$A,'dim tasks'!$B:$B,"")</f>
        <v>Database design</v>
      </c>
      <c r="C16" s="22" t="str">
        <f>_xlfn.XLOOKUP($E16,'dim employees'!$C:$C,'dim employees'!$A:$A,"")</f>
        <v>Manager</v>
      </c>
      <c r="D16" s="22">
        <f>_xlfn.XLOOKUP($E16,'dim employees'!$C:$C,'dim employees'!$B:$B,"")</f>
        <v>3</v>
      </c>
      <c r="E16" s="20" t="s">
        <v>20</v>
      </c>
      <c r="F16" s="3">
        <f>IFERROR(_xlfn.MAXIFS('dim rates'!$D:$D,'dim rates'!$B:$B,'input forecasts'!$D16,'dim rates'!$A:$A,F$3),"")</f>
        <v>84</v>
      </c>
      <c r="G16" s="3">
        <f>IFERROR(_xlfn.MAXIFS('dim rates'!$D:$D,'dim rates'!$B:$B,'input forecasts'!$D16,'dim rates'!$A:$A,G$3),"")</f>
        <v>75.599999999999994</v>
      </c>
      <c r="H16" s="1">
        <f>SUMIFS(actuals!$G:$G,actuals!$A:$A,$A16,actuals!$D:$D,$D16)</f>
        <v>24</v>
      </c>
      <c r="I16" s="3">
        <f>SUMIFS(actuals!$J:$J,actuals!$A:$A,$A16,actuals!$D:$D,$D16)</f>
        <v>1964</v>
      </c>
      <c r="J16" s="40">
        <f>SUMIFS(actuals!$K:$K,actuals!$A:$A,$A16,actuals!$D:$D,$D16)</f>
        <v>1767.6</v>
      </c>
      <c r="K16" s="40">
        <f>Input_Forecast[[#This Row],[Bill Rate/Hour]]*Input_Forecast[[#This Row],[Forecast Hours]]</f>
        <v>1680</v>
      </c>
      <c r="L16" s="40">
        <f>Input_Forecast[[#This Row],[FBLR/Hour]]*Input_Forecast[[#This Row],[Forecast Hours]]</f>
        <v>1512</v>
      </c>
      <c r="M16" s="1">
        <f>SUM(Input_Forecast[[#This Row],[W1]:[W13]])</f>
        <v>20</v>
      </c>
      <c r="N16" s="18"/>
      <c r="O16" s="18"/>
      <c r="P16" s="18"/>
      <c r="Q16" s="18">
        <v>10</v>
      </c>
      <c r="R16" s="18">
        <v>10</v>
      </c>
      <c r="S16" s="18"/>
      <c r="T16" s="18"/>
      <c r="U16" s="18"/>
      <c r="V16" s="18"/>
      <c r="W16" s="18"/>
      <c r="X16" s="18"/>
      <c r="Y16" s="18"/>
      <c r="Z16" s="29"/>
    </row>
    <row r="17" spans="1:26" x14ac:dyDescent="0.35">
      <c r="A17" s="28" t="s">
        <v>56</v>
      </c>
      <c r="B17" s="22" t="str">
        <f>_xlfn.XLOOKUP('input forecasts'!$A17,'dim tasks'!$A:$A,'dim tasks'!$B:$B,"")</f>
        <v>Database design</v>
      </c>
      <c r="C17" s="22" t="str">
        <f>_xlfn.XLOOKUP($E17,'dim employees'!$C:$C,'dim employees'!$A:$A,"")</f>
        <v>Senior Engineer</v>
      </c>
      <c r="D17" s="22">
        <f>_xlfn.XLOOKUP($E17,'dim employees'!$C:$C,'dim employees'!$B:$B,"")</f>
        <v>6</v>
      </c>
      <c r="E17" s="20" t="s">
        <v>23</v>
      </c>
      <c r="F17" s="3">
        <f>IFERROR(_xlfn.MAXIFS('dim rates'!$D:$D,'dim rates'!$B:$B,'input forecasts'!$D17,'dim rates'!$A:$A,F$3),"")</f>
        <v>63</v>
      </c>
      <c r="G17" s="3">
        <f>IFERROR(_xlfn.MAXIFS('dim rates'!$D:$D,'dim rates'!$B:$B,'input forecasts'!$D17,'dim rates'!$A:$A,G$3),"")</f>
        <v>56.7</v>
      </c>
      <c r="H17" s="1">
        <f>SUMIFS(actuals!$G:$G,actuals!$A:$A,$A17,actuals!$D:$D,$D17)</f>
        <v>36</v>
      </c>
      <c r="I17" s="3">
        <f>SUMIFS(actuals!$J:$J,actuals!$A:$A,$A17,actuals!$D:$D,$D17)</f>
        <v>2199</v>
      </c>
      <c r="J17" s="40">
        <f>SUMIFS(actuals!$K:$K,actuals!$A:$A,$A17,actuals!$D:$D,$D17)</f>
        <v>1979.1</v>
      </c>
      <c r="K17" s="40">
        <f>Input_Forecast[[#This Row],[Bill Rate/Hour]]*Input_Forecast[[#This Row],[Forecast Hours]]</f>
        <v>2520</v>
      </c>
      <c r="L17" s="40">
        <f>Input_Forecast[[#This Row],[FBLR/Hour]]*Input_Forecast[[#This Row],[Forecast Hours]]</f>
        <v>2268</v>
      </c>
      <c r="M17" s="1">
        <f>SUM(Input_Forecast[[#This Row],[W1]:[W13]])</f>
        <v>40</v>
      </c>
      <c r="N17" s="18"/>
      <c r="O17" s="18"/>
      <c r="P17" s="18"/>
      <c r="Q17" s="18">
        <v>20</v>
      </c>
      <c r="R17" s="18">
        <v>20</v>
      </c>
      <c r="S17" s="18"/>
      <c r="T17" s="18"/>
      <c r="U17" s="18"/>
      <c r="V17" s="18"/>
      <c r="W17" s="18"/>
      <c r="X17" s="18"/>
      <c r="Y17" s="18"/>
      <c r="Z17" s="29"/>
    </row>
    <row r="18" spans="1:26" x14ac:dyDescent="0.35">
      <c r="A18" s="28"/>
      <c r="B18" s="22">
        <f>_xlfn.XLOOKUP('input forecasts'!$A18,'dim tasks'!$A:$A,'dim tasks'!$B:$B,"")</f>
        <v>0</v>
      </c>
      <c r="C18" s="22">
        <f>_xlfn.XLOOKUP($E18,'dim employees'!$C:$C,'dim employees'!$A:$A,"")</f>
        <v>0</v>
      </c>
      <c r="D18" s="22">
        <f>_xlfn.XLOOKUP($E18,'dim employees'!$C:$C,'dim employees'!$B:$B,"")</f>
        <v>0</v>
      </c>
      <c r="E18" s="20"/>
      <c r="F18" s="3">
        <f>IFERROR(_xlfn.MAXIFS('dim rates'!$D:$D,'dim rates'!$B:$B,'input forecasts'!$D18,'dim rates'!$A:$A,F$3),"")</f>
        <v>0</v>
      </c>
      <c r="G18" s="3">
        <f>IFERROR(_xlfn.MAXIFS('dim rates'!$D:$D,'dim rates'!$B:$B,'input forecasts'!$D18,'dim rates'!$A:$A,G$3),"")</f>
        <v>0</v>
      </c>
      <c r="H18" s="1">
        <f>SUMIFS(actuals!$G:$G,actuals!$A:$A,$A18,actuals!$D:$D,$D18)</f>
        <v>0</v>
      </c>
      <c r="I18" s="3">
        <f>SUMIFS(actuals!$J:$J,actuals!$A:$A,$A18,actuals!$D:$D,$D18)</f>
        <v>0</v>
      </c>
      <c r="J18" s="40">
        <f>SUMIFS(actuals!$K:$K,actuals!$A:$A,$A18,actuals!$D:$D,$D18)</f>
        <v>0</v>
      </c>
      <c r="K18" s="40">
        <f>Input_Forecast[[#This Row],[Bill Rate/Hour]]*Input_Forecast[[#This Row],[Forecast Hours]]</f>
        <v>0</v>
      </c>
      <c r="L18" s="40">
        <f>Input_Forecast[[#This Row],[FBLR/Hour]]*Input_Forecast[[#This Row],[Forecast Hours]]</f>
        <v>0</v>
      </c>
      <c r="M18" s="1">
        <f>SUM(Input_Forecast[[#This Row],[W1]:[W13]])</f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9"/>
    </row>
    <row r="19" spans="1:26" x14ac:dyDescent="0.35">
      <c r="A19" s="28" t="s">
        <v>57</v>
      </c>
      <c r="B19" s="22" t="str">
        <f>_xlfn.XLOOKUP('input forecasts'!$A19,'dim tasks'!$A:$A,'dim tasks'!$B:$B,"")</f>
        <v>Front-end development</v>
      </c>
      <c r="C19" s="22" t="str">
        <f>_xlfn.XLOOKUP($E19,'dim employees'!$C:$C,'dim employees'!$A:$A,"")</f>
        <v>Senior Engineer</v>
      </c>
      <c r="D19" s="22">
        <f>_xlfn.XLOOKUP($E19,'dim employees'!$C:$C,'dim employees'!$B:$B,"")</f>
        <v>5</v>
      </c>
      <c r="E19" s="20" t="s">
        <v>22</v>
      </c>
      <c r="F19" s="3">
        <f>IFERROR(_xlfn.MAXIFS('dim rates'!$D:$D,'dim rates'!$B:$B,'input forecasts'!$D19,'dim rates'!$A:$A,F$3),"")</f>
        <v>63</v>
      </c>
      <c r="G19" s="3">
        <f>IFERROR(_xlfn.MAXIFS('dim rates'!$D:$D,'dim rates'!$B:$B,'input forecasts'!$D19,'dim rates'!$A:$A,G$3),"")</f>
        <v>56.7</v>
      </c>
      <c r="H19" s="1">
        <f>SUMIFS(actuals!$G:$G,actuals!$A:$A,$A19,actuals!$D:$D,$D19)</f>
        <v>26</v>
      </c>
      <c r="I19" s="3">
        <f>SUMIFS(actuals!$J:$J,actuals!$A:$A,$A19,actuals!$D:$D,$D19)</f>
        <v>1638</v>
      </c>
      <c r="J19" s="40">
        <f>SUMIFS(actuals!$K:$K,actuals!$A:$A,$A19,actuals!$D:$D,$D19)</f>
        <v>1474.2000000000003</v>
      </c>
      <c r="K19" s="40">
        <f>Input_Forecast[[#This Row],[Bill Rate/Hour]]*Input_Forecast[[#This Row],[Forecast Hours]]</f>
        <v>1890</v>
      </c>
      <c r="L19" s="40">
        <f>Input_Forecast[[#This Row],[FBLR/Hour]]*Input_Forecast[[#This Row],[Forecast Hours]]</f>
        <v>1701</v>
      </c>
      <c r="M19" s="1">
        <f>SUM(Input_Forecast[[#This Row],[W1]:[W13]])</f>
        <v>30</v>
      </c>
      <c r="N19" s="18"/>
      <c r="O19" s="18"/>
      <c r="P19" s="18"/>
      <c r="Q19" s="18"/>
      <c r="R19" s="18"/>
      <c r="S19" s="18">
        <v>10</v>
      </c>
      <c r="T19" s="18">
        <v>10</v>
      </c>
      <c r="U19" s="18">
        <v>10</v>
      </c>
      <c r="V19" s="18"/>
      <c r="W19" s="18"/>
      <c r="X19" s="18"/>
      <c r="Y19" s="18"/>
      <c r="Z19" s="29"/>
    </row>
    <row r="20" spans="1:26" x14ac:dyDescent="0.35">
      <c r="A20" s="28" t="s">
        <v>57</v>
      </c>
      <c r="B20" s="22" t="str">
        <f>_xlfn.XLOOKUP('input forecasts'!$A20,'dim tasks'!$A:$A,'dim tasks'!$B:$B,"")</f>
        <v>Front-end development</v>
      </c>
      <c r="C20" s="22" t="str">
        <f>_xlfn.XLOOKUP($E20,'dim employees'!$C:$C,'dim employees'!$A:$A,"")</f>
        <v>Apprentice</v>
      </c>
      <c r="D20" s="22">
        <f>_xlfn.XLOOKUP($E20,'dim employees'!$C:$C,'dim employees'!$B:$B,"")</f>
        <v>9</v>
      </c>
      <c r="E20" s="20" t="s">
        <v>26</v>
      </c>
      <c r="F20" s="3">
        <f>IFERROR(_xlfn.MAXIFS('dim rates'!$D:$D,'dim rates'!$B:$B,'input forecasts'!$D20,'dim rates'!$A:$A,F$3),"")</f>
        <v>21</v>
      </c>
      <c r="G20" s="3">
        <f>IFERROR(_xlfn.MAXIFS('dim rates'!$D:$D,'dim rates'!$B:$B,'input forecasts'!$D20,'dim rates'!$A:$A,G$3),"")</f>
        <v>18.899999999999999</v>
      </c>
      <c r="H20" s="1">
        <f>SUMIFS(actuals!$G:$G,actuals!$A:$A,$A20,actuals!$D:$D,$D20)</f>
        <v>68</v>
      </c>
      <c r="I20" s="3">
        <f>SUMIFS(actuals!$J:$J,actuals!$A:$A,$A20,actuals!$D:$D,$D20)</f>
        <v>1428</v>
      </c>
      <c r="J20" s="40">
        <f>SUMIFS(actuals!$K:$K,actuals!$A:$A,$A20,actuals!$D:$D,$D20)</f>
        <v>1285.1999999999998</v>
      </c>
      <c r="K20" s="40">
        <f>Input_Forecast[[#This Row],[Bill Rate/Hour]]*Input_Forecast[[#This Row],[Forecast Hours]]</f>
        <v>2520</v>
      </c>
      <c r="L20" s="40">
        <f>Input_Forecast[[#This Row],[FBLR/Hour]]*Input_Forecast[[#This Row],[Forecast Hours]]</f>
        <v>2268</v>
      </c>
      <c r="M20" s="1">
        <f>SUM(Input_Forecast[[#This Row],[W1]:[W13]])</f>
        <v>120</v>
      </c>
      <c r="N20" s="18"/>
      <c r="O20" s="18"/>
      <c r="P20" s="18"/>
      <c r="Q20" s="18"/>
      <c r="R20" s="18"/>
      <c r="S20" s="18">
        <v>40</v>
      </c>
      <c r="T20" s="18">
        <v>40</v>
      </c>
      <c r="U20" s="18">
        <v>40</v>
      </c>
      <c r="V20" s="18"/>
      <c r="W20" s="18"/>
      <c r="X20" s="18"/>
      <c r="Y20" s="18"/>
      <c r="Z20" s="29"/>
    </row>
    <row r="21" spans="1:26" x14ac:dyDescent="0.35">
      <c r="A21" s="28"/>
      <c r="B21" s="22">
        <f>_xlfn.XLOOKUP('input forecasts'!$A21,'dim tasks'!$A:$A,'dim tasks'!$B:$B,"")</f>
        <v>0</v>
      </c>
      <c r="C21" s="22">
        <f>_xlfn.XLOOKUP($E21,'dim employees'!$C:$C,'dim employees'!$A:$A,"")</f>
        <v>0</v>
      </c>
      <c r="D21" s="22">
        <f>_xlfn.XLOOKUP($E21,'dim employees'!$C:$C,'dim employees'!$B:$B,"")</f>
        <v>0</v>
      </c>
      <c r="E21" s="20"/>
      <c r="F21" s="3">
        <f>IFERROR(_xlfn.MAXIFS('dim rates'!$D:$D,'dim rates'!$B:$B,'input forecasts'!$D21,'dim rates'!$A:$A,F$3),"")</f>
        <v>0</v>
      </c>
      <c r="G21" s="3">
        <f>IFERROR(_xlfn.MAXIFS('dim rates'!$D:$D,'dim rates'!$B:$B,'input forecasts'!$D21,'dim rates'!$A:$A,G$3),"")</f>
        <v>0</v>
      </c>
      <c r="H21" s="1">
        <f>SUMIFS(actuals!$G:$G,actuals!$A:$A,$A21,actuals!$D:$D,$D21)</f>
        <v>0</v>
      </c>
      <c r="I21" s="3">
        <f>SUMIFS(actuals!$J:$J,actuals!$A:$A,$A21,actuals!$D:$D,$D21)</f>
        <v>0</v>
      </c>
      <c r="J21" s="40">
        <f>SUMIFS(actuals!$K:$K,actuals!$A:$A,$A21,actuals!$D:$D,$D21)</f>
        <v>0</v>
      </c>
      <c r="K21" s="40">
        <f>Input_Forecast[[#This Row],[Bill Rate/Hour]]*Input_Forecast[[#This Row],[Forecast Hours]]</f>
        <v>0</v>
      </c>
      <c r="L21" s="40">
        <f>Input_Forecast[[#This Row],[FBLR/Hour]]*Input_Forecast[[#This Row],[Forecast Hours]]</f>
        <v>0</v>
      </c>
      <c r="M21" s="1">
        <f>SUM(Input_Forecast[[#This Row],[W1]:[W13]])</f>
        <v>0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9"/>
    </row>
    <row r="22" spans="1:26" x14ac:dyDescent="0.35">
      <c r="A22" s="28" t="s">
        <v>58</v>
      </c>
      <c r="B22" s="22" t="str">
        <f>_xlfn.XLOOKUP('input forecasts'!$A22,'dim tasks'!$A:$A,'dim tasks'!$B:$B,"")</f>
        <v>Back-end development</v>
      </c>
      <c r="C22" s="22" t="str">
        <f>_xlfn.XLOOKUP($E22,'dim employees'!$C:$C,'dim employees'!$A:$A,"")</f>
        <v>Senior Engineer</v>
      </c>
      <c r="D22" s="22">
        <f>_xlfn.XLOOKUP($E22,'dim employees'!$C:$C,'dim employees'!$B:$B,"")</f>
        <v>6</v>
      </c>
      <c r="E22" s="20" t="s">
        <v>23</v>
      </c>
      <c r="F22" s="3">
        <f>IFERROR(_xlfn.MAXIFS('dim rates'!$D:$D,'dim rates'!$B:$B,'input forecasts'!$D22,'dim rates'!$A:$A,F$3),"")</f>
        <v>63</v>
      </c>
      <c r="G22" s="3">
        <f>IFERROR(_xlfn.MAXIFS('dim rates'!$D:$D,'dim rates'!$B:$B,'input forecasts'!$D22,'dim rates'!$A:$A,G$3),"")</f>
        <v>56.7</v>
      </c>
      <c r="H22" s="1">
        <f>SUMIFS(actuals!$G:$G,actuals!$A:$A,$A22,actuals!$D:$D,$D22)</f>
        <v>23</v>
      </c>
      <c r="I22" s="3">
        <f>SUMIFS(actuals!$J:$J,actuals!$A:$A,$A22,actuals!$D:$D,$D22)</f>
        <v>1449</v>
      </c>
      <c r="J22" s="40">
        <f>SUMIFS(actuals!$K:$K,actuals!$A:$A,$A22,actuals!$D:$D,$D22)</f>
        <v>1304.1000000000001</v>
      </c>
      <c r="K22" s="40">
        <f>Input_Forecast[[#This Row],[Bill Rate/Hour]]*Input_Forecast[[#This Row],[Forecast Hours]]</f>
        <v>1890</v>
      </c>
      <c r="L22" s="40">
        <f>Input_Forecast[[#This Row],[FBLR/Hour]]*Input_Forecast[[#This Row],[Forecast Hours]]</f>
        <v>1701</v>
      </c>
      <c r="M22" s="1">
        <f>SUM(Input_Forecast[[#This Row],[W1]:[W13]])</f>
        <v>30</v>
      </c>
      <c r="N22" s="18"/>
      <c r="O22" s="18"/>
      <c r="P22" s="18"/>
      <c r="Q22" s="18"/>
      <c r="R22" s="18"/>
      <c r="S22" s="18">
        <v>10</v>
      </c>
      <c r="T22" s="18">
        <v>10</v>
      </c>
      <c r="U22" s="18">
        <v>10</v>
      </c>
      <c r="V22" s="18"/>
      <c r="W22" s="18"/>
      <c r="X22" s="18"/>
      <c r="Y22" s="18"/>
      <c r="Z22" s="29"/>
    </row>
    <row r="23" spans="1:26" x14ac:dyDescent="0.35">
      <c r="A23" s="28" t="s">
        <v>58</v>
      </c>
      <c r="B23" s="22" t="str">
        <f>_xlfn.XLOOKUP('input forecasts'!$A23,'dim tasks'!$A:$A,'dim tasks'!$B:$B,"")</f>
        <v>Back-end development</v>
      </c>
      <c r="C23" s="22" t="str">
        <f>_xlfn.XLOOKUP($E23,'dim employees'!$C:$C,'dim employees'!$A:$A,"")</f>
        <v>Engineer</v>
      </c>
      <c r="D23" s="22">
        <f>_xlfn.XLOOKUP($E23,'dim employees'!$C:$C,'dim employees'!$B:$B,"")</f>
        <v>7</v>
      </c>
      <c r="E23" s="20" t="s">
        <v>24</v>
      </c>
      <c r="F23" s="3">
        <f>IFERROR(_xlfn.MAXIFS('dim rates'!$D:$D,'dim rates'!$B:$B,'input forecasts'!$D23,'dim rates'!$A:$A,F$3),"")</f>
        <v>42</v>
      </c>
      <c r="G23" s="3">
        <f>IFERROR(_xlfn.MAXIFS('dim rates'!$D:$D,'dim rates'!$B:$B,'input forecasts'!$D23,'dim rates'!$A:$A,G$3),"")</f>
        <v>37.799999999999997</v>
      </c>
      <c r="H23" s="1">
        <f>SUMIFS(actuals!$G:$G,actuals!$A:$A,$A23,actuals!$D:$D,$D23)</f>
        <v>72</v>
      </c>
      <c r="I23" s="3">
        <f>SUMIFS(actuals!$J:$J,actuals!$A:$A,$A23,actuals!$D:$D,$D23)</f>
        <v>3024</v>
      </c>
      <c r="J23" s="40">
        <f>SUMIFS(actuals!$K:$K,actuals!$A:$A,$A23,actuals!$D:$D,$D23)</f>
        <v>2721.5999999999995</v>
      </c>
      <c r="K23" s="40">
        <f>Input_Forecast[[#This Row],[Bill Rate/Hour]]*Input_Forecast[[#This Row],[Forecast Hours]]</f>
        <v>5040</v>
      </c>
      <c r="L23" s="40">
        <f>Input_Forecast[[#This Row],[FBLR/Hour]]*Input_Forecast[[#This Row],[Forecast Hours]]</f>
        <v>4536</v>
      </c>
      <c r="M23" s="1">
        <f>SUM(Input_Forecast[[#This Row],[W1]:[W13]])</f>
        <v>120</v>
      </c>
      <c r="N23" s="18"/>
      <c r="O23" s="18"/>
      <c r="P23" s="18"/>
      <c r="Q23" s="18"/>
      <c r="R23" s="18"/>
      <c r="S23" s="18">
        <v>40</v>
      </c>
      <c r="T23" s="18">
        <v>40</v>
      </c>
      <c r="U23" s="18">
        <v>40</v>
      </c>
      <c r="V23" s="18"/>
      <c r="W23" s="18"/>
      <c r="X23" s="18"/>
      <c r="Y23" s="18"/>
      <c r="Z23" s="29"/>
    </row>
    <row r="24" spans="1:26" x14ac:dyDescent="0.35">
      <c r="A24" s="28"/>
      <c r="B24" s="22">
        <f>_xlfn.XLOOKUP('input forecasts'!$A24,'dim tasks'!$A:$A,'dim tasks'!$B:$B,"")</f>
        <v>0</v>
      </c>
      <c r="C24" s="22">
        <f>_xlfn.XLOOKUP($E24,'dim employees'!$C:$C,'dim employees'!$A:$A,"")</f>
        <v>0</v>
      </c>
      <c r="D24" s="22">
        <f>_xlfn.XLOOKUP($E24,'dim employees'!$C:$C,'dim employees'!$B:$B,"")</f>
        <v>0</v>
      </c>
      <c r="E24" s="20"/>
      <c r="F24" s="3">
        <f>IFERROR(_xlfn.MAXIFS('dim rates'!$D:$D,'dim rates'!$B:$B,'input forecasts'!$D24,'dim rates'!$A:$A,F$3),"")</f>
        <v>0</v>
      </c>
      <c r="G24" s="3">
        <f>IFERROR(_xlfn.MAXIFS('dim rates'!$D:$D,'dim rates'!$B:$B,'input forecasts'!$D24,'dim rates'!$A:$A,G$3),"")</f>
        <v>0</v>
      </c>
      <c r="H24" s="1">
        <f>SUMIFS(actuals!$G:$G,actuals!$A:$A,$A24,actuals!$D:$D,$D24)</f>
        <v>0</v>
      </c>
      <c r="I24" s="3">
        <f>SUMIFS(actuals!$J:$J,actuals!$A:$A,$A24,actuals!$D:$D,$D24)</f>
        <v>0</v>
      </c>
      <c r="J24" s="40">
        <f>SUMIFS(actuals!$K:$K,actuals!$A:$A,$A24,actuals!$D:$D,$D24)</f>
        <v>0</v>
      </c>
      <c r="K24" s="40">
        <f>Input_Forecast[[#This Row],[Bill Rate/Hour]]*Input_Forecast[[#This Row],[Forecast Hours]]</f>
        <v>0</v>
      </c>
      <c r="L24" s="40">
        <f>Input_Forecast[[#This Row],[FBLR/Hour]]*Input_Forecast[[#This Row],[Forecast Hours]]</f>
        <v>0</v>
      </c>
      <c r="M24" s="1">
        <f>SUM(Input_Forecast[[#This Row],[W1]:[W13]])</f>
        <v>0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9"/>
    </row>
    <row r="25" spans="1:26" x14ac:dyDescent="0.35">
      <c r="A25" s="28" t="s">
        <v>59</v>
      </c>
      <c r="B25" s="22" t="str">
        <f>_xlfn.XLOOKUP('input forecasts'!$A25,'dim tasks'!$A:$A,'dim tasks'!$B:$B,"")</f>
        <v>Unit testing</v>
      </c>
      <c r="C25" s="22" t="str">
        <f>_xlfn.XLOOKUP($E25,'dim employees'!$C:$C,'dim employees'!$A:$A,"")</f>
        <v>Senior Engineer</v>
      </c>
      <c r="D25" s="22">
        <f>_xlfn.XLOOKUP($E25,'dim employees'!$C:$C,'dim employees'!$B:$B,"")</f>
        <v>6</v>
      </c>
      <c r="E25" s="20" t="s">
        <v>23</v>
      </c>
      <c r="F25" s="3">
        <f>IFERROR(_xlfn.MAXIFS('dim rates'!$D:$D,'dim rates'!$B:$B,'input forecasts'!$D25,'dim rates'!$A:$A,F$3),"")</f>
        <v>63</v>
      </c>
      <c r="G25" s="3">
        <f>IFERROR(_xlfn.MAXIFS('dim rates'!$D:$D,'dim rates'!$B:$B,'input forecasts'!$D25,'dim rates'!$A:$A,G$3),"")</f>
        <v>56.7</v>
      </c>
      <c r="H25" s="1">
        <f>SUMIFS(actuals!$G:$G,actuals!$A:$A,$A25,actuals!$D:$D,$D25)</f>
        <v>0</v>
      </c>
      <c r="I25" s="3">
        <f>SUMIFS(actuals!$J:$J,actuals!$A:$A,$A25,actuals!$D:$D,$D25)</f>
        <v>0</v>
      </c>
      <c r="J25" s="40">
        <f>SUMIFS(actuals!$K:$K,actuals!$A:$A,$A25,actuals!$D:$D,$D25)</f>
        <v>0</v>
      </c>
      <c r="K25" s="40">
        <f>Input_Forecast[[#This Row],[Bill Rate/Hour]]*Input_Forecast[[#This Row],[Forecast Hours]]</f>
        <v>1260</v>
      </c>
      <c r="L25" s="40">
        <f>Input_Forecast[[#This Row],[FBLR/Hour]]*Input_Forecast[[#This Row],[Forecast Hours]]</f>
        <v>1134</v>
      </c>
      <c r="M25" s="1">
        <f>SUM(Input_Forecast[[#This Row],[W1]:[W13]])</f>
        <v>20</v>
      </c>
      <c r="N25" s="18"/>
      <c r="O25" s="18"/>
      <c r="P25" s="18"/>
      <c r="Q25" s="18"/>
      <c r="R25" s="18"/>
      <c r="S25" s="18"/>
      <c r="T25" s="18"/>
      <c r="U25" s="18"/>
      <c r="V25" s="18">
        <v>10</v>
      </c>
      <c r="W25" s="18">
        <v>10</v>
      </c>
      <c r="X25" s="18"/>
      <c r="Y25" s="18"/>
      <c r="Z25" s="29"/>
    </row>
    <row r="26" spans="1:26" x14ac:dyDescent="0.35">
      <c r="A26" s="28" t="s">
        <v>59</v>
      </c>
      <c r="B26" s="22" t="str">
        <f>_xlfn.XLOOKUP('input forecasts'!$A26,'dim tasks'!$A:$A,'dim tasks'!$B:$B,"")</f>
        <v>Unit testing</v>
      </c>
      <c r="C26" s="22" t="str">
        <f>_xlfn.XLOOKUP($E26,'dim employees'!$C:$C,'dim employees'!$A:$A,"")</f>
        <v>Apprentice</v>
      </c>
      <c r="D26" s="22">
        <f>_xlfn.XLOOKUP($E26,'dim employees'!$C:$C,'dim employees'!$B:$B,"")</f>
        <v>9</v>
      </c>
      <c r="E26" s="20" t="s">
        <v>26</v>
      </c>
      <c r="F26" s="3">
        <f>IFERROR(_xlfn.MAXIFS('dim rates'!$D:$D,'dim rates'!$B:$B,'input forecasts'!$D26,'dim rates'!$A:$A,F$3),"")</f>
        <v>21</v>
      </c>
      <c r="G26" s="3">
        <f>IFERROR(_xlfn.MAXIFS('dim rates'!$D:$D,'dim rates'!$B:$B,'input forecasts'!$D26,'dim rates'!$A:$A,G$3),"")</f>
        <v>18.899999999999999</v>
      </c>
      <c r="H26" s="1">
        <f>SUMIFS(actuals!$G:$G,actuals!$A:$A,$A26,actuals!$D:$D,$D26)</f>
        <v>0</v>
      </c>
      <c r="I26" s="3">
        <f>SUMIFS(actuals!$J:$J,actuals!$A:$A,$A26,actuals!$D:$D,$D26)</f>
        <v>0</v>
      </c>
      <c r="J26" s="40">
        <f>SUMIFS(actuals!$K:$K,actuals!$A:$A,$A26,actuals!$D:$D,$D26)</f>
        <v>0</v>
      </c>
      <c r="K26" s="40">
        <f>Input_Forecast[[#This Row],[Bill Rate/Hour]]*Input_Forecast[[#This Row],[Forecast Hours]]</f>
        <v>1680</v>
      </c>
      <c r="L26" s="40">
        <f>Input_Forecast[[#This Row],[FBLR/Hour]]*Input_Forecast[[#This Row],[Forecast Hours]]</f>
        <v>1512</v>
      </c>
      <c r="M26" s="1">
        <f>SUM(Input_Forecast[[#This Row],[W1]:[W13]])</f>
        <v>80</v>
      </c>
      <c r="N26" s="18"/>
      <c r="O26" s="18"/>
      <c r="P26" s="18"/>
      <c r="Q26" s="18"/>
      <c r="R26" s="18"/>
      <c r="S26" s="18"/>
      <c r="T26" s="18"/>
      <c r="U26" s="18"/>
      <c r="V26" s="18">
        <v>40</v>
      </c>
      <c r="W26" s="18">
        <v>40</v>
      </c>
      <c r="X26" s="18"/>
      <c r="Y26" s="18"/>
      <c r="Z26" s="29"/>
    </row>
    <row r="27" spans="1:26" x14ac:dyDescent="0.35">
      <c r="A27" s="28"/>
      <c r="B27" s="22">
        <f>_xlfn.XLOOKUP('input forecasts'!$A27,'dim tasks'!$A:$A,'dim tasks'!$B:$B,"")</f>
        <v>0</v>
      </c>
      <c r="C27" s="22">
        <f>_xlfn.XLOOKUP($E27,'dim employees'!$C:$C,'dim employees'!$A:$A,"")</f>
        <v>0</v>
      </c>
      <c r="D27" s="22">
        <f>_xlfn.XLOOKUP($E27,'dim employees'!$C:$C,'dim employees'!$B:$B,"")</f>
        <v>0</v>
      </c>
      <c r="E27" s="20"/>
      <c r="F27" s="3">
        <f>IFERROR(_xlfn.MAXIFS('dim rates'!$D:$D,'dim rates'!$B:$B,'input forecasts'!$D27,'dim rates'!$A:$A,F$3),"")</f>
        <v>0</v>
      </c>
      <c r="G27" s="3">
        <f>IFERROR(_xlfn.MAXIFS('dim rates'!$D:$D,'dim rates'!$B:$B,'input forecasts'!$D27,'dim rates'!$A:$A,G$3),"")</f>
        <v>0</v>
      </c>
      <c r="H27" s="1">
        <f>SUMIFS(actuals!$G:$G,actuals!$A:$A,$A27,actuals!$D:$D,$D27)</f>
        <v>0</v>
      </c>
      <c r="I27" s="3">
        <f>SUMIFS(actuals!$J:$J,actuals!$A:$A,$A27,actuals!$D:$D,$D27)</f>
        <v>0</v>
      </c>
      <c r="J27" s="40">
        <f>SUMIFS(actuals!$K:$K,actuals!$A:$A,$A27,actuals!$D:$D,$D27)</f>
        <v>0</v>
      </c>
      <c r="K27" s="40">
        <f>Input_Forecast[[#This Row],[Bill Rate/Hour]]*Input_Forecast[[#This Row],[Forecast Hours]]</f>
        <v>0</v>
      </c>
      <c r="L27" s="40">
        <f>Input_Forecast[[#This Row],[FBLR/Hour]]*Input_Forecast[[#This Row],[Forecast Hours]]</f>
        <v>0</v>
      </c>
      <c r="M27" s="1">
        <f>SUM(Input_Forecast[[#This Row],[W1]:[W13]])</f>
        <v>0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9"/>
    </row>
    <row r="28" spans="1:26" x14ac:dyDescent="0.35">
      <c r="A28" s="28" t="s">
        <v>60</v>
      </c>
      <c r="B28" s="22" t="str">
        <f>_xlfn.XLOOKUP('input forecasts'!$A28,'dim tasks'!$A:$A,'dim tasks'!$B:$B,"")</f>
        <v>Integration testing</v>
      </c>
      <c r="C28" s="22" t="str">
        <f>_xlfn.XLOOKUP($E28,'dim employees'!$C:$C,'dim employees'!$A:$A,"")</f>
        <v>Senior Engineer</v>
      </c>
      <c r="D28" s="22">
        <f>_xlfn.XLOOKUP($E28,'dim employees'!$C:$C,'dim employees'!$B:$B,"")</f>
        <v>5</v>
      </c>
      <c r="E28" s="20" t="s">
        <v>22</v>
      </c>
      <c r="F28" s="3">
        <f>IFERROR(_xlfn.MAXIFS('dim rates'!$D:$D,'dim rates'!$B:$B,'input forecasts'!$D28,'dim rates'!$A:$A,F$3),"")</f>
        <v>63</v>
      </c>
      <c r="G28" s="3">
        <f>IFERROR(_xlfn.MAXIFS('dim rates'!$D:$D,'dim rates'!$B:$B,'input forecasts'!$D28,'dim rates'!$A:$A,G$3),"")</f>
        <v>56.7</v>
      </c>
      <c r="H28" s="1">
        <f>SUMIFS(actuals!$G:$G,actuals!$A:$A,$A28,actuals!$D:$D,$D28)</f>
        <v>0</v>
      </c>
      <c r="I28" s="3">
        <f>SUMIFS(actuals!$J:$J,actuals!$A:$A,$A28,actuals!$D:$D,$D28)</f>
        <v>0</v>
      </c>
      <c r="J28" s="40">
        <f>SUMIFS(actuals!$K:$K,actuals!$A:$A,$A28,actuals!$D:$D,$D28)</f>
        <v>0</v>
      </c>
      <c r="K28" s="40">
        <f>Input_Forecast[[#This Row],[Bill Rate/Hour]]*Input_Forecast[[#This Row],[Forecast Hours]]</f>
        <v>1260</v>
      </c>
      <c r="L28" s="40">
        <f>Input_Forecast[[#This Row],[FBLR/Hour]]*Input_Forecast[[#This Row],[Forecast Hours]]</f>
        <v>1134</v>
      </c>
      <c r="M28" s="1">
        <f>SUM(Input_Forecast[[#This Row],[W1]:[W13]])</f>
        <v>20</v>
      </c>
      <c r="N28" s="18"/>
      <c r="O28" s="18"/>
      <c r="P28" s="18"/>
      <c r="Q28" s="18"/>
      <c r="R28" s="18"/>
      <c r="S28" s="18"/>
      <c r="T28" s="18"/>
      <c r="U28" s="18"/>
      <c r="V28" s="18">
        <v>10</v>
      </c>
      <c r="W28" s="18">
        <v>10</v>
      </c>
      <c r="X28" s="18"/>
      <c r="Y28" s="18"/>
      <c r="Z28" s="29"/>
    </row>
    <row r="29" spans="1:26" x14ac:dyDescent="0.35">
      <c r="A29" s="28" t="s">
        <v>60</v>
      </c>
      <c r="B29" s="22" t="str">
        <f>_xlfn.XLOOKUP('input forecasts'!$A29,'dim tasks'!$A:$A,'dim tasks'!$B:$B,"")</f>
        <v>Integration testing</v>
      </c>
      <c r="C29" s="22" t="str">
        <f>_xlfn.XLOOKUP($E29,'dim employees'!$C:$C,'dim employees'!$A:$A,"")</f>
        <v>Apprentice</v>
      </c>
      <c r="D29" s="22">
        <f>_xlfn.XLOOKUP($E29,'dim employees'!$C:$C,'dim employees'!$B:$B,"")</f>
        <v>10</v>
      </c>
      <c r="E29" s="20" t="s">
        <v>27</v>
      </c>
      <c r="F29" s="3">
        <f>IFERROR(_xlfn.MAXIFS('dim rates'!$D:$D,'dim rates'!$B:$B,'input forecasts'!$D29,'dim rates'!$A:$A,F$3),"")</f>
        <v>21</v>
      </c>
      <c r="G29" s="3">
        <f>IFERROR(_xlfn.MAXIFS('dim rates'!$D:$D,'dim rates'!$B:$B,'input forecasts'!$D29,'dim rates'!$A:$A,G$3),"")</f>
        <v>18.899999999999999</v>
      </c>
      <c r="H29" s="1">
        <f>SUMIFS(actuals!$G:$G,actuals!$A:$A,$A29,actuals!$D:$D,$D29)</f>
        <v>0</v>
      </c>
      <c r="I29" s="3">
        <f>SUMIFS(actuals!$J:$J,actuals!$A:$A,$A29,actuals!$D:$D,$D29)</f>
        <v>0</v>
      </c>
      <c r="J29" s="40">
        <f>SUMIFS(actuals!$K:$K,actuals!$A:$A,$A29,actuals!$D:$D,$D29)</f>
        <v>0</v>
      </c>
      <c r="K29" s="40">
        <f>Input_Forecast[[#This Row],[Bill Rate/Hour]]*Input_Forecast[[#This Row],[Forecast Hours]]</f>
        <v>1680</v>
      </c>
      <c r="L29" s="40">
        <f>Input_Forecast[[#This Row],[FBLR/Hour]]*Input_Forecast[[#This Row],[Forecast Hours]]</f>
        <v>1512</v>
      </c>
      <c r="M29" s="1">
        <f>SUM(Input_Forecast[[#This Row],[W1]:[W13]])</f>
        <v>80</v>
      </c>
      <c r="N29" s="18"/>
      <c r="O29" s="18"/>
      <c r="P29" s="18"/>
      <c r="Q29" s="18"/>
      <c r="R29" s="18"/>
      <c r="S29" s="18"/>
      <c r="T29" s="18"/>
      <c r="U29" s="18"/>
      <c r="V29" s="18">
        <v>40</v>
      </c>
      <c r="W29" s="18">
        <v>40</v>
      </c>
      <c r="X29" s="18"/>
      <c r="Y29" s="18"/>
      <c r="Z29" s="29"/>
    </row>
    <row r="30" spans="1:26" x14ac:dyDescent="0.35">
      <c r="A30" s="28"/>
      <c r="B30" s="22">
        <f>_xlfn.XLOOKUP('input forecasts'!$A30,'dim tasks'!$A:$A,'dim tasks'!$B:$B,"")</f>
        <v>0</v>
      </c>
      <c r="C30" s="22">
        <f>_xlfn.XLOOKUP($E30,'dim employees'!$C:$C,'dim employees'!$A:$A,"")</f>
        <v>0</v>
      </c>
      <c r="D30" s="22">
        <f>_xlfn.XLOOKUP($E30,'dim employees'!$C:$C,'dim employees'!$B:$B,"")</f>
        <v>0</v>
      </c>
      <c r="E30" s="20"/>
      <c r="F30" s="3">
        <f>IFERROR(_xlfn.MAXIFS('dim rates'!$D:$D,'dim rates'!$B:$B,'input forecasts'!$D30,'dim rates'!$A:$A,F$3),"")</f>
        <v>0</v>
      </c>
      <c r="G30" s="3">
        <f>IFERROR(_xlfn.MAXIFS('dim rates'!$D:$D,'dim rates'!$B:$B,'input forecasts'!$D30,'dim rates'!$A:$A,G$3),"")</f>
        <v>0</v>
      </c>
      <c r="H30" s="1">
        <f>SUMIFS(actuals!$G:$G,actuals!$A:$A,$A30,actuals!$D:$D,$D30)</f>
        <v>0</v>
      </c>
      <c r="I30" s="3">
        <f>SUMIFS(actuals!$J:$J,actuals!$A:$A,$A30,actuals!$D:$D,$D30)</f>
        <v>0</v>
      </c>
      <c r="J30" s="40">
        <f>SUMIFS(actuals!$K:$K,actuals!$A:$A,$A30,actuals!$D:$D,$D30)</f>
        <v>0</v>
      </c>
      <c r="K30" s="40">
        <f>Input_Forecast[[#This Row],[Bill Rate/Hour]]*Input_Forecast[[#This Row],[Forecast Hours]]</f>
        <v>0</v>
      </c>
      <c r="L30" s="40">
        <f>Input_Forecast[[#This Row],[FBLR/Hour]]*Input_Forecast[[#This Row],[Forecast Hours]]</f>
        <v>0</v>
      </c>
      <c r="M30" s="1">
        <f>SUM(Input_Forecast[[#This Row],[W1]:[W13]])</f>
        <v>0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9"/>
    </row>
    <row r="31" spans="1:26" x14ac:dyDescent="0.35">
      <c r="A31" s="28" t="s">
        <v>61</v>
      </c>
      <c r="B31" s="22" t="str">
        <f>_xlfn.XLOOKUP('input forecasts'!$A31,'dim tasks'!$A:$A,'dim tasks'!$B:$B,"")</f>
        <v>User acceptance testing</v>
      </c>
      <c r="C31" s="22" t="str">
        <f>_xlfn.XLOOKUP($E31,'dim employees'!$C:$C,'dim employees'!$A:$A,"")</f>
        <v>Manager</v>
      </c>
      <c r="D31" s="22">
        <f>_xlfn.XLOOKUP($E31,'dim employees'!$C:$C,'dim employees'!$B:$B,"")</f>
        <v>3</v>
      </c>
      <c r="E31" s="20" t="s">
        <v>20</v>
      </c>
      <c r="F31" s="3">
        <f>IFERROR(_xlfn.MAXIFS('dim rates'!$D:$D,'dim rates'!$B:$B,'input forecasts'!$D31,'dim rates'!$A:$A,F$3),"")</f>
        <v>84</v>
      </c>
      <c r="G31" s="3">
        <f>IFERROR(_xlfn.MAXIFS('dim rates'!$D:$D,'dim rates'!$B:$B,'input forecasts'!$D31,'dim rates'!$A:$A,G$3),"")</f>
        <v>75.599999999999994</v>
      </c>
      <c r="H31" s="1">
        <f>SUMIFS(actuals!$G:$G,actuals!$A:$A,$A31,actuals!$D:$D,$D31)</f>
        <v>0</v>
      </c>
      <c r="I31" s="3">
        <f>SUMIFS(actuals!$J:$J,actuals!$A:$A,$A31,actuals!$D:$D,$D31)</f>
        <v>0</v>
      </c>
      <c r="J31" s="40">
        <f>SUMIFS(actuals!$K:$K,actuals!$A:$A,$A31,actuals!$D:$D,$D31)</f>
        <v>0</v>
      </c>
      <c r="K31" s="40">
        <f>Input_Forecast[[#This Row],[Bill Rate/Hour]]*Input_Forecast[[#This Row],[Forecast Hours]]</f>
        <v>1680</v>
      </c>
      <c r="L31" s="40">
        <f>Input_Forecast[[#This Row],[FBLR/Hour]]*Input_Forecast[[#This Row],[Forecast Hours]]</f>
        <v>1512</v>
      </c>
      <c r="M31" s="1">
        <f>SUM(Input_Forecast[[#This Row],[W1]:[W13]])</f>
        <v>20</v>
      </c>
      <c r="N31" s="18"/>
      <c r="O31" s="18"/>
      <c r="P31" s="18"/>
      <c r="Q31" s="18"/>
      <c r="R31" s="18"/>
      <c r="S31" s="18"/>
      <c r="T31" s="18"/>
      <c r="U31" s="18"/>
      <c r="V31" s="18">
        <v>10</v>
      </c>
      <c r="W31" s="18">
        <v>10</v>
      </c>
      <c r="X31" s="18"/>
      <c r="Y31" s="18"/>
      <c r="Z31" s="29"/>
    </row>
    <row r="32" spans="1:26" x14ac:dyDescent="0.35">
      <c r="A32" s="28" t="s">
        <v>61</v>
      </c>
      <c r="B32" s="22" t="str">
        <f>_xlfn.XLOOKUP('input forecasts'!$A32,'dim tasks'!$A:$A,'dim tasks'!$B:$B,"")</f>
        <v>User acceptance testing</v>
      </c>
      <c r="C32" s="22" t="str">
        <f>_xlfn.XLOOKUP($E32,'dim employees'!$C:$C,'dim employees'!$A:$A,"")</f>
        <v>Apprentice</v>
      </c>
      <c r="D32" s="22">
        <f>_xlfn.XLOOKUP($E32,'dim employees'!$C:$C,'dim employees'!$B:$B,"")</f>
        <v>9</v>
      </c>
      <c r="E32" s="20" t="s">
        <v>26</v>
      </c>
      <c r="F32" s="3">
        <f>IFERROR(_xlfn.MAXIFS('dim rates'!$D:$D,'dim rates'!$B:$B,'input forecasts'!$D32,'dim rates'!$A:$A,F$3),"")</f>
        <v>21</v>
      </c>
      <c r="G32" s="3">
        <f>IFERROR(_xlfn.MAXIFS('dim rates'!$D:$D,'dim rates'!$B:$B,'input forecasts'!$D32,'dim rates'!$A:$A,G$3),"")</f>
        <v>18.899999999999999</v>
      </c>
      <c r="H32" s="1">
        <f>SUMIFS(actuals!$G:$G,actuals!$A:$A,$A32,actuals!$D:$D,$D32)</f>
        <v>0</v>
      </c>
      <c r="I32" s="3">
        <f>SUMIFS(actuals!$J:$J,actuals!$A:$A,$A32,actuals!$D:$D,$D32)</f>
        <v>0</v>
      </c>
      <c r="J32" s="40">
        <f>SUMIFS(actuals!$K:$K,actuals!$A:$A,$A32,actuals!$D:$D,$D32)</f>
        <v>0</v>
      </c>
      <c r="K32" s="40">
        <f>Input_Forecast[[#This Row],[Bill Rate/Hour]]*Input_Forecast[[#This Row],[Forecast Hours]]</f>
        <v>1680</v>
      </c>
      <c r="L32" s="40">
        <f>Input_Forecast[[#This Row],[FBLR/Hour]]*Input_Forecast[[#This Row],[Forecast Hours]]</f>
        <v>1512</v>
      </c>
      <c r="M32" s="1">
        <f>SUM(Input_Forecast[[#This Row],[W1]:[W13]])</f>
        <v>80</v>
      </c>
      <c r="N32" s="18"/>
      <c r="O32" s="18"/>
      <c r="P32" s="18"/>
      <c r="Q32" s="18"/>
      <c r="R32" s="18"/>
      <c r="S32" s="18"/>
      <c r="T32" s="18"/>
      <c r="U32" s="18"/>
      <c r="V32" s="18">
        <v>40</v>
      </c>
      <c r="W32" s="18">
        <v>40</v>
      </c>
      <c r="X32" s="18"/>
      <c r="Y32" s="18"/>
      <c r="Z32" s="29"/>
    </row>
    <row r="33" spans="1:26" x14ac:dyDescent="0.35">
      <c r="A33" s="28"/>
      <c r="B33" s="22">
        <f>_xlfn.XLOOKUP('input forecasts'!$A33,'dim tasks'!$A:$A,'dim tasks'!$B:$B,"")</f>
        <v>0</v>
      </c>
      <c r="C33" s="22">
        <f>_xlfn.XLOOKUP($E33,'dim employees'!$C:$C,'dim employees'!$A:$A,"")</f>
        <v>0</v>
      </c>
      <c r="D33" s="22">
        <f>_xlfn.XLOOKUP($E33,'dim employees'!$C:$C,'dim employees'!$B:$B,"")</f>
        <v>0</v>
      </c>
      <c r="E33" s="20"/>
      <c r="F33" s="3">
        <f>IFERROR(_xlfn.MAXIFS('dim rates'!$D:$D,'dim rates'!$B:$B,'input forecasts'!$D33,'dim rates'!$A:$A,F$3),"")</f>
        <v>0</v>
      </c>
      <c r="G33" s="3">
        <f>IFERROR(_xlfn.MAXIFS('dim rates'!$D:$D,'dim rates'!$B:$B,'input forecasts'!$D33,'dim rates'!$A:$A,G$3),"")</f>
        <v>0</v>
      </c>
      <c r="H33" s="1">
        <f>SUMIFS(actuals!$G:$G,actuals!$A:$A,$A33,actuals!$D:$D,$D33)</f>
        <v>0</v>
      </c>
      <c r="I33" s="3">
        <f>SUMIFS(actuals!$J:$J,actuals!$A:$A,$A33,actuals!$D:$D,$D33)</f>
        <v>0</v>
      </c>
      <c r="J33" s="40">
        <f>SUMIFS(actuals!$K:$K,actuals!$A:$A,$A33,actuals!$D:$D,$D33)</f>
        <v>0</v>
      </c>
      <c r="K33" s="40">
        <f>Input_Forecast[[#This Row],[Bill Rate/Hour]]*Input_Forecast[[#This Row],[Forecast Hours]]</f>
        <v>0</v>
      </c>
      <c r="L33" s="40">
        <f>Input_Forecast[[#This Row],[FBLR/Hour]]*Input_Forecast[[#This Row],[Forecast Hours]]</f>
        <v>0</v>
      </c>
      <c r="M33" s="1">
        <f>SUM(Input_Forecast[[#This Row],[W1]:[W13]])</f>
        <v>0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9"/>
    </row>
    <row r="34" spans="1:26" x14ac:dyDescent="0.35">
      <c r="A34" s="28" t="s">
        <v>62</v>
      </c>
      <c r="B34" s="22" t="str">
        <f>_xlfn.XLOOKUP('input forecasts'!$A34,'dim tasks'!$A:$A,'dim tasks'!$B:$B,"")</f>
        <v>Production deployment</v>
      </c>
      <c r="C34" s="22" t="str">
        <f>_xlfn.XLOOKUP($E34,'dim employees'!$C:$C,'dim employees'!$A:$A,"")</f>
        <v>Manager</v>
      </c>
      <c r="D34" s="22">
        <f>_xlfn.XLOOKUP($E34,'dim employees'!$C:$C,'dim employees'!$B:$B,"")</f>
        <v>4</v>
      </c>
      <c r="E34" s="20" t="s">
        <v>21</v>
      </c>
      <c r="F34" s="3">
        <f>IFERROR(_xlfn.MAXIFS('dim rates'!$D:$D,'dim rates'!$B:$B,'input forecasts'!$D34,'dim rates'!$A:$A,F$3),"")</f>
        <v>84</v>
      </c>
      <c r="G34" s="3">
        <f>IFERROR(_xlfn.MAXIFS('dim rates'!$D:$D,'dim rates'!$B:$B,'input forecasts'!$D34,'dim rates'!$A:$A,G$3),"")</f>
        <v>75.599999999999994</v>
      </c>
      <c r="H34" s="1">
        <f>SUMIFS(actuals!$G:$G,actuals!$A:$A,$A34,actuals!$D:$D,$D34)</f>
        <v>0</v>
      </c>
      <c r="I34" s="3">
        <f>SUMIFS(actuals!$J:$J,actuals!$A:$A,$A34,actuals!$D:$D,$D34)</f>
        <v>0</v>
      </c>
      <c r="J34" s="40">
        <f>SUMIFS(actuals!$K:$K,actuals!$A:$A,$A34,actuals!$D:$D,$D34)</f>
        <v>0</v>
      </c>
      <c r="K34" s="40">
        <f>Input_Forecast[[#This Row],[Bill Rate/Hour]]*Input_Forecast[[#This Row],[Forecast Hours]]</f>
        <v>3360</v>
      </c>
      <c r="L34" s="40">
        <f>Input_Forecast[[#This Row],[FBLR/Hour]]*Input_Forecast[[#This Row],[Forecast Hours]]</f>
        <v>3024</v>
      </c>
      <c r="M34" s="1">
        <f>SUM(Input_Forecast[[#This Row],[W1]:[W13]])</f>
        <v>40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>
        <v>20</v>
      </c>
      <c r="Y34" s="18">
        <v>20</v>
      </c>
      <c r="Z34" s="29"/>
    </row>
    <row r="35" spans="1:26" x14ac:dyDescent="0.35">
      <c r="A35" s="28" t="s">
        <v>62</v>
      </c>
      <c r="B35" s="22" t="str">
        <f>_xlfn.XLOOKUP('input forecasts'!$A35,'dim tasks'!$A:$A,'dim tasks'!$B:$B,"")</f>
        <v>Production deployment</v>
      </c>
      <c r="C35" s="22" t="str">
        <f>_xlfn.XLOOKUP($E35,'dim employees'!$C:$C,'dim employees'!$A:$A,"")</f>
        <v>Senior Engineer</v>
      </c>
      <c r="D35" s="22">
        <f>_xlfn.XLOOKUP($E35,'dim employees'!$C:$C,'dim employees'!$B:$B,"")</f>
        <v>5</v>
      </c>
      <c r="E35" s="20" t="s">
        <v>22</v>
      </c>
      <c r="F35" s="3">
        <f>IFERROR(_xlfn.MAXIFS('dim rates'!$D:$D,'dim rates'!$B:$B,'input forecasts'!$D35,'dim rates'!$A:$A,F$3),"")</f>
        <v>63</v>
      </c>
      <c r="G35" s="3">
        <f>IFERROR(_xlfn.MAXIFS('dim rates'!$D:$D,'dim rates'!$B:$B,'input forecasts'!$D35,'dim rates'!$A:$A,G$3),"")</f>
        <v>56.7</v>
      </c>
      <c r="H35" s="1">
        <f>SUMIFS(actuals!$G:$G,actuals!$A:$A,$A35,actuals!$D:$D,$D35)</f>
        <v>0</v>
      </c>
      <c r="I35" s="3">
        <f>SUMIFS(actuals!$J:$J,actuals!$A:$A,$A35,actuals!$D:$D,$D35)</f>
        <v>0</v>
      </c>
      <c r="J35" s="40">
        <f>SUMIFS(actuals!$K:$K,actuals!$A:$A,$A35,actuals!$D:$D,$D35)</f>
        <v>0</v>
      </c>
      <c r="K35" s="40">
        <f>Input_Forecast[[#This Row],[Bill Rate/Hour]]*Input_Forecast[[#This Row],[Forecast Hours]]</f>
        <v>3780</v>
      </c>
      <c r="L35" s="40">
        <f>Input_Forecast[[#This Row],[FBLR/Hour]]*Input_Forecast[[#This Row],[Forecast Hours]]</f>
        <v>3402</v>
      </c>
      <c r="M35" s="1">
        <f>SUM(Input_Forecast[[#This Row],[W1]:[W13]])</f>
        <v>60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>
        <v>30</v>
      </c>
      <c r="Y35" s="18">
        <v>30</v>
      </c>
      <c r="Z35" s="29"/>
    </row>
    <row r="36" spans="1:26" x14ac:dyDescent="0.35">
      <c r="A36" s="28"/>
      <c r="B36" s="22">
        <f>_xlfn.XLOOKUP('input forecasts'!$A36,'dim tasks'!$A:$A,'dim tasks'!$B:$B,"")</f>
        <v>0</v>
      </c>
      <c r="C36" s="22">
        <f>_xlfn.XLOOKUP($E36,'dim employees'!$C:$C,'dim employees'!$A:$A,"")</f>
        <v>0</v>
      </c>
      <c r="D36" s="22">
        <f>_xlfn.XLOOKUP($E36,'dim employees'!$C:$C,'dim employees'!$B:$B,"")</f>
        <v>0</v>
      </c>
      <c r="E36" s="20"/>
      <c r="F36" s="3">
        <f>IFERROR(_xlfn.MAXIFS('dim rates'!$D:$D,'dim rates'!$B:$B,'input forecasts'!$D36,'dim rates'!$A:$A,F$3),"")</f>
        <v>0</v>
      </c>
      <c r="G36" s="3">
        <f>IFERROR(_xlfn.MAXIFS('dim rates'!$D:$D,'dim rates'!$B:$B,'input forecasts'!$D36,'dim rates'!$A:$A,G$3),"")</f>
        <v>0</v>
      </c>
      <c r="H36" s="1">
        <f>SUMIFS(actuals!$G:$G,actuals!$A:$A,$A36,actuals!$D:$D,$D36)</f>
        <v>0</v>
      </c>
      <c r="I36" s="3">
        <f>SUMIFS(actuals!$J:$J,actuals!$A:$A,$A36,actuals!$D:$D,$D36)</f>
        <v>0</v>
      </c>
      <c r="J36" s="40">
        <f>SUMIFS(actuals!$K:$K,actuals!$A:$A,$A36,actuals!$D:$D,$D36)</f>
        <v>0</v>
      </c>
      <c r="K36" s="40">
        <f>Input_Forecast[[#This Row],[Bill Rate/Hour]]*Input_Forecast[[#This Row],[Forecast Hours]]</f>
        <v>0</v>
      </c>
      <c r="L36" s="40">
        <f>Input_Forecast[[#This Row],[FBLR/Hour]]*Input_Forecast[[#This Row],[Forecast Hours]]</f>
        <v>0</v>
      </c>
      <c r="M36" s="1">
        <f>SUM(Input_Forecast[[#This Row],[W1]:[W13]])</f>
        <v>0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9"/>
    </row>
    <row r="37" spans="1:26" x14ac:dyDescent="0.35">
      <c r="A37" s="28" t="s">
        <v>63</v>
      </c>
      <c r="B37" s="22" t="str">
        <f>_xlfn.XLOOKUP('input forecasts'!$A37,'dim tasks'!$A:$A,'dim tasks'!$B:$B,"")</f>
        <v>Project closure</v>
      </c>
      <c r="C37" s="22" t="str">
        <f>_xlfn.XLOOKUP($E37,'dim employees'!$C:$C,'dim employees'!$A:$A,"")</f>
        <v>Director</v>
      </c>
      <c r="D37" s="22">
        <f>_xlfn.XLOOKUP($E37,'dim employees'!$C:$C,'dim employees'!$B:$B,"")</f>
        <v>2</v>
      </c>
      <c r="E37" s="20" t="s">
        <v>19</v>
      </c>
      <c r="F37" s="3">
        <f>IFERROR(_xlfn.MAXIFS('dim rates'!$D:$D,'dim rates'!$B:$B,'input forecasts'!$D37,'dim rates'!$A:$A,F$3),"")</f>
        <v>105</v>
      </c>
      <c r="G37" s="3">
        <f>IFERROR(_xlfn.MAXIFS('dim rates'!$D:$D,'dim rates'!$B:$B,'input forecasts'!$D37,'dim rates'!$A:$A,G$3),"")</f>
        <v>94.5</v>
      </c>
      <c r="H37" s="1">
        <f>SUMIFS(actuals!$G:$G,actuals!$A:$A,$A37,actuals!$D:$D,$D37)</f>
        <v>0</v>
      </c>
      <c r="I37" s="3">
        <f>SUMIFS(actuals!$J:$J,actuals!$A:$A,$A37,actuals!$D:$D,$D37)</f>
        <v>0</v>
      </c>
      <c r="J37" s="40">
        <f>SUMIFS(actuals!$K:$K,actuals!$A:$A,$A37,actuals!$D:$D,$D37)</f>
        <v>0</v>
      </c>
      <c r="K37" s="40">
        <f>Input_Forecast[[#This Row],[Bill Rate/Hour]]*Input_Forecast[[#This Row],[Forecast Hours]]</f>
        <v>525</v>
      </c>
      <c r="L37" s="40">
        <f>Input_Forecast[[#This Row],[FBLR/Hour]]*Input_Forecast[[#This Row],[Forecast Hours]]</f>
        <v>472.5</v>
      </c>
      <c r="M37" s="1">
        <f>SUM(Input_Forecast[[#This Row],[W1]:[W13]])</f>
        <v>5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9">
        <v>5</v>
      </c>
    </row>
    <row r="38" spans="1:26" x14ac:dyDescent="0.35">
      <c r="A38" s="28" t="s">
        <v>63</v>
      </c>
      <c r="B38" s="22" t="str">
        <f>_xlfn.XLOOKUP('input forecasts'!$A38,'dim tasks'!$A:$A,'dim tasks'!$B:$B,"")</f>
        <v>Project closure</v>
      </c>
      <c r="C38" s="22" t="str">
        <f>_xlfn.XLOOKUP($E38,'dim employees'!$C:$C,'dim employees'!$A:$A,"")</f>
        <v>Manager</v>
      </c>
      <c r="D38" s="22">
        <f>_xlfn.XLOOKUP($E38,'dim employees'!$C:$C,'dim employees'!$B:$B,"")</f>
        <v>4</v>
      </c>
      <c r="E38" s="20" t="s">
        <v>21</v>
      </c>
      <c r="F38" s="3">
        <f>IFERROR(_xlfn.MAXIFS('dim rates'!$D:$D,'dim rates'!$B:$B,'input forecasts'!$D38,'dim rates'!$A:$A,F$3),"")</f>
        <v>84</v>
      </c>
      <c r="G38" s="3">
        <f>IFERROR(_xlfn.MAXIFS('dim rates'!$D:$D,'dim rates'!$B:$B,'input forecasts'!$D38,'dim rates'!$A:$A,G$3),"")</f>
        <v>75.599999999999994</v>
      </c>
      <c r="H38" s="1">
        <f>SUMIFS(actuals!$G:$G,actuals!$A:$A,$A38,actuals!$D:$D,$D38)</f>
        <v>0</v>
      </c>
      <c r="I38" s="3">
        <f>SUMIFS(actuals!$J:$J,actuals!$A:$A,$A38,actuals!$D:$D,$D38)</f>
        <v>0</v>
      </c>
      <c r="J38" s="40">
        <f>SUMIFS(actuals!$K:$K,actuals!$A:$A,$A38,actuals!$D:$D,$D38)</f>
        <v>0</v>
      </c>
      <c r="K38" s="40">
        <f>Input_Forecast[[#This Row],[Bill Rate/Hour]]*Input_Forecast[[#This Row],[Forecast Hours]]</f>
        <v>840</v>
      </c>
      <c r="L38" s="40">
        <f>Input_Forecast[[#This Row],[FBLR/Hour]]*Input_Forecast[[#This Row],[Forecast Hours]]</f>
        <v>756</v>
      </c>
      <c r="M38" s="1">
        <f>SUM(Input_Forecast[[#This Row],[W1]:[W13]])</f>
        <v>10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9">
        <v>10</v>
      </c>
    </row>
    <row r="39" spans="1:26" x14ac:dyDescent="0.35">
      <c r="A39" s="35"/>
      <c r="B39" s="36">
        <f>_xlfn.XLOOKUP('input forecasts'!$A39,'dim tasks'!$A:$A,'dim tasks'!$B:$B,"")</f>
        <v>0</v>
      </c>
      <c r="C39" s="36">
        <f>_xlfn.XLOOKUP($E39,'dim employees'!$C:$C,'dim employees'!$A:$A,"")</f>
        <v>0</v>
      </c>
      <c r="D39" s="36">
        <f>_xlfn.XLOOKUP($E39,'dim employees'!$C:$C,'dim employees'!$B:$B,"")</f>
        <v>0</v>
      </c>
      <c r="E39" s="37"/>
      <c r="F39" s="13">
        <f>IFERROR(_xlfn.MAXIFS('dim rates'!$D:$D,'dim rates'!$B:$B,'input forecasts'!$D39,'dim rates'!$A:$A,F$3),"")</f>
        <v>0</v>
      </c>
      <c r="G39" s="3">
        <f>IFERROR(_xlfn.MAXIFS('dim rates'!$D:$D,'dim rates'!$B:$B,'input forecasts'!$D39,'dim rates'!$A:$A,G$3),"")</f>
        <v>0</v>
      </c>
      <c r="H39" s="12">
        <f>SUMIFS(actuals!$G:$G,actuals!$A:$A,$A39,actuals!$D:$D,$D39)</f>
        <v>0</v>
      </c>
      <c r="I39" s="13">
        <f>SUMIFS(actuals!$J:$J,actuals!$A:$A,$A39,actuals!$D:$D,$D39)</f>
        <v>0</v>
      </c>
      <c r="J39" s="41">
        <f>SUMIFS(actuals!$K:$K,actuals!$A:$A,$A39,actuals!$D:$D,$D39)</f>
        <v>0</v>
      </c>
      <c r="K39" s="41">
        <f>Input_Forecast[[#This Row],[Bill Rate/Hour]]*Input_Forecast[[#This Row],[Forecast Hours]]</f>
        <v>0</v>
      </c>
      <c r="L39" s="41">
        <f>Input_Forecast[[#This Row],[FBLR/Hour]]*Input_Forecast[[#This Row],[Forecast Hours]]</f>
        <v>0</v>
      </c>
      <c r="M39" s="12">
        <f>SUM(Input_Forecast[[#This Row],[W1]:[W13]])</f>
        <v>0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9"/>
    </row>
  </sheetData>
  <phoneticPr fontId="5" type="noConversion"/>
  <conditionalFormatting sqref="B1:D1048576">
    <cfRule type="cellIs" dxfId="0" priority="1" operator="equal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705B71-353F-4D81-8C5D-DC6442C5BB7C}">
          <x14:formula1>
            <xm:f>'dim employees'!$C:$C</xm:f>
          </x14:formula1>
          <xm:sqref>E4:E39</xm:sqref>
        </x14:dataValidation>
        <x14:dataValidation type="list" allowBlank="1" showInputMessage="1" showErrorMessage="1" xr:uid="{6F342DF0-0C54-4A3A-8489-D2258395F0E4}">
          <x14:formula1>
            <xm:f>'dim tasks'!A:A</xm:f>
          </x14:formula1>
          <xm:sqref>A4:A39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6A51-BF5E-4D61-8E2D-CC5E27D4DABE}">
  <sheetPr>
    <tabColor theme="3" tint="0.89999084444715716"/>
  </sheetPr>
  <dimension ref="A1:O52"/>
  <sheetViews>
    <sheetView zoomScale="75" zoomScaleNormal="75" workbookViewId="0">
      <pane ySplit="2" topLeftCell="A3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12.453125" bestFit="1" customWidth="1"/>
    <col min="2" max="2" width="21" bestFit="1" customWidth="1"/>
    <col min="3" max="3" width="16.453125" bestFit="1" customWidth="1"/>
    <col min="4" max="4" width="19.6328125" bestFit="1" customWidth="1"/>
    <col min="5" max="5" width="17.81640625" bestFit="1" customWidth="1"/>
    <col min="6" max="6" width="15.90625" bestFit="1" customWidth="1"/>
    <col min="7" max="7" width="14.6328125" bestFit="1" customWidth="1"/>
    <col min="8" max="8" width="15.81640625" style="56" bestFit="1" customWidth="1"/>
    <col min="9" max="9" width="8.81640625" bestFit="1" customWidth="1"/>
    <col min="10" max="10" width="15.6328125" bestFit="1" customWidth="1"/>
    <col min="11" max="11" width="17.1796875" style="16" bestFit="1" customWidth="1"/>
    <col min="12" max="12" width="15.81640625" style="16" bestFit="1" customWidth="1"/>
    <col min="13" max="13" width="17.26953125" style="16" bestFit="1" customWidth="1"/>
    <col min="14" max="15" width="15.90625" style="16" bestFit="1" customWidth="1"/>
  </cols>
  <sheetData>
    <row r="1" spans="1:15" x14ac:dyDescent="0.35">
      <c r="A1" s="27" t="s">
        <v>95</v>
      </c>
    </row>
    <row r="2" spans="1:15" x14ac:dyDescent="0.35">
      <c r="A2" s="47" t="s">
        <v>41</v>
      </c>
      <c r="B2" s="48" t="s">
        <v>40</v>
      </c>
      <c r="C2" s="48" t="s">
        <v>72</v>
      </c>
      <c r="D2" s="48" t="s">
        <v>46</v>
      </c>
      <c r="E2" s="48" t="s">
        <v>64</v>
      </c>
      <c r="F2" s="48" t="s">
        <v>0</v>
      </c>
      <c r="G2" s="57" t="s">
        <v>14</v>
      </c>
      <c r="H2" s="48" t="s">
        <v>15</v>
      </c>
      <c r="I2" s="48" t="s">
        <v>66</v>
      </c>
      <c r="J2" s="48" t="s">
        <v>42</v>
      </c>
      <c r="K2" s="48" t="s">
        <v>73</v>
      </c>
      <c r="L2" s="55" t="s">
        <v>67</v>
      </c>
      <c r="M2" s="55" t="s">
        <v>69</v>
      </c>
      <c r="N2"/>
      <c r="O2"/>
    </row>
    <row r="3" spans="1:15" x14ac:dyDescent="0.35">
      <c r="A3" s="44" t="s">
        <v>52</v>
      </c>
      <c r="B3" s="1" t="s">
        <v>28</v>
      </c>
      <c r="C3" s="1" t="s">
        <v>47</v>
      </c>
      <c r="D3" s="1">
        <v>1</v>
      </c>
      <c r="E3" s="15" t="s">
        <v>18</v>
      </c>
      <c r="F3" s="15" t="s">
        <v>1</v>
      </c>
      <c r="G3" s="2">
        <v>46207</v>
      </c>
      <c r="H3" s="15" t="s">
        <v>16</v>
      </c>
      <c r="I3" s="15">
        <v>5</v>
      </c>
      <c r="J3" s="15">
        <v>100</v>
      </c>
      <c r="K3" s="15">
        <v>90</v>
      </c>
      <c r="L3" s="3">
        <v>500</v>
      </c>
      <c r="M3" s="3">
        <v>450</v>
      </c>
      <c r="N3"/>
      <c r="O3"/>
    </row>
    <row r="4" spans="1:15" x14ac:dyDescent="0.35">
      <c r="A4" s="44" t="s">
        <v>52</v>
      </c>
      <c r="B4" s="1" t="s">
        <v>28</v>
      </c>
      <c r="C4" s="1" t="s">
        <v>47</v>
      </c>
      <c r="D4" s="1">
        <v>1</v>
      </c>
      <c r="E4" s="15" t="s">
        <v>18</v>
      </c>
      <c r="F4" s="15" t="s">
        <v>2</v>
      </c>
      <c r="G4" s="2">
        <v>46214</v>
      </c>
      <c r="H4" s="15" t="s">
        <v>16</v>
      </c>
      <c r="I4" s="15">
        <v>5</v>
      </c>
      <c r="J4" s="15">
        <v>100</v>
      </c>
      <c r="K4" s="15">
        <v>90</v>
      </c>
      <c r="L4" s="3">
        <v>500</v>
      </c>
      <c r="M4" s="3">
        <v>450</v>
      </c>
      <c r="N4"/>
      <c r="O4"/>
    </row>
    <row r="5" spans="1:15" x14ac:dyDescent="0.35">
      <c r="A5" s="44" t="s">
        <v>53</v>
      </c>
      <c r="B5" s="1" t="s">
        <v>29</v>
      </c>
      <c r="C5" s="1" t="s">
        <v>47</v>
      </c>
      <c r="D5" s="1">
        <v>1</v>
      </c>
      <c r="E5" s="15" t="s">
        <v>18</v>
      </c>
      <c r="F5" s="15" t="s">
        <v>2</v>
      </c>
      <c r="G5" s="2">
        <v>46214</v>
      </c>
      <c r="H5" s="15" t="s">
        <v>16</v>
      </c>
      <c r="I5" s="15">
        <v>5</v>
      </c>
      <c r="J5" s="15">
        <v>100</v>
      </c>
      <c r="K5" s="15">
        <v>90</v>
      </c>
      <c r="L5" s="3">
        <v>500</v>
      </c>
      <c r="M5" s="3">
        <v>450</v>
      </c>
      <c r="N5"/>
      <c r="O5"/>
    </row>
    <row r="6" spans="1:15" x14ac:dyDescent="0.35">
      <c r="A6" s="44" t="s">
        <v>53</v>
      </c>
      <c r="B6" s="1" t="s">
        <v>29</v>
      </c>
      <c r="C6" s="1" t="s">
        <v>47</v>
      </c>
      <c r="D6" s="1">
        <v>1</v>
      </c>
      <c r="E6" s="15" t="s">
        <v>18</v>
      </c>
      <c r="F6" s="15" t="s">
        <v>3</v>
      </c>
      <c r="G6" s="2">
        <v>46221</v>
      </c>
      <c r="H6" s="15" t="s">
        <v>16</v>
      </c>
      <c r="I6" s="15">
        <v>5</v>
      </c>
      <c r="J6" s="15">
        <v>100</v>
      </c>
      <c r="K6" s="15">
        <v>90</v>
      </c>
      <c r="L6" s="3">
        <v>500</v>
      </c>
      <c r="M6" s="3">
        <v>450</v>
      </c>
      <c r="N6"/>
      <c r="O6"/>
    </row>
    <row r="7" spans="1:15" x14ac:dyDescent="0.35">
      <c r="A7" s="44" t="s">
        <v>52</v>
      </c>
      <c r="B7" s="1" t="s">
        <v>28</v>
      </c>
      <c r="C7" s="1" t="s">
        <v>47</v>
      </c>
      <c r="D7" s="1">
        <v>2</v>
      </c>
      <c r="E7" s="15" t="s">
        <v>19</v>
      </c>
      <c r="F7" s="15" t="s">
        <v>1</v>
      </c>
      <c r="G7" s="2">
        <v>46207</v>
      </c>
      <c r="H7" s="15" t="s">
        <v>16</v>
      </c>
      <c r="I7" s="15">
        <v>10</v>
      </c>
      <c r="J7" s="15">
        <v>100</v>
      </c>
      <c r="K7" s="15">
        <v>90</v>
      </c>
      <c r="L7" s="3">
        <v>1000</v>
      </c>
      <c r="M7" s="3">
        <v>900</v>
      </c>
      <c r="N7"/>
      <c r="O7"/>
    </row>
    <row r="8" spans="1:15" x14ac:dyDescent="0.35">
      <c r="A8" s="44" t="s">
        <v>52</v>
      </c>
      <c r="B8" s="1" t="s">
        <v>28</v>
      </c>
      <c r="C8" s="1" t="s">
        <v>47</v>
      </c>
      <c r="D8" s="1">
        <v>2</v>
      </c>
      <c r="E8" s="15" t="s">
        <v>19</v>
      </c>
      <c r="F8" s="15" t="s">
        <v>2</v>
      </c>
      <c r="G8" s="2">
        <v>46214</v>
      </c>
      <c r="H8" s="15" t="s">
        <v>16</v>
      </c>
      <c r="I8" s="15">
        <v>10</v>
      </c>
      <c r="J8" s="15">
        <v>100</v>
      </c>
      <c r="K8" s="15">
        <v>90</v>
      </c>
      <c r="L8" s="3">
        <v>1000</v>
      </c>
      <c r="M8" s="3">
        <v>900</v>
      </c>
      <c r="N8"/>
      <c r="O8"/>
    </row>
    <row r="9" spans="1:15" x14ac:dyDescent="0.35">
      <c r="A9" s="44" t="s">
        <v>54</v>
      </c>
      <c r="B9" s="1" t="s">
        <v>30</v>
      </c>
      <c r="C9" s="1" t="s">
        <v>47</v>
      </c>
      <c r="D9" s="1">
        <v>2</v>
      </c>
      <c r="E9" s="15" t="s">
        <v>19</v>
      </c>
      <c r="F9" s="15" t="s">
        <v>2</v>
      </c>
      <c r="G9" s="2">
        <v>46214</v>
      </c>
      <c r="H9" s="15" t="s">
        <v>16</v>
      </c>
      <c r="I9" s="15">
        <v>10</v>
      </c>
      <c r="J9" s="15">
        <v>100</v>
      </c>
      <c r="K9" s="15">
        <v>90</v>
      </c>
      <c r="L9" s="3">
        <v>1000</v>
      </c>
      <c r="M9" s="3">
        <v>900</v>
      </c>
      <c r="N9"/>
      <c r="O9"/>
    </row>
    <row r="10" spans="1:15" x14ac:dyDescent="0.35">
      <c r="A10" s="44" t="s">
        <v>54</v>
      </c>
      <c r="B10" s="1" t="s">
        <v>30</v>
      </c>
      <c r="C10" s="1" t="s">
        <v>47</v>
      </c>
      <c r="D10" s="1">
        <v>2</v>
      </c>
      <c r="E10" s="15" t="s">
        <v>19</v>
      </c>
      <c r="F10" s="15" t="s">
        <v>3</v>
      </c>
      <c r="G10" s="2">
        <v>46221</v>
      </c>
      <c r="H10" s="15" t="s">
        <v>16</v>
      </c>
      <c r="I10" s="15">
        <v>10</v>
      </c>
      <c r="J10" s="15">
        <v>100</v>
      </c>
      <c r="K10" s="15">
        <v>90</v>
      </c>
      <c r="L10" s="3">
        <v>1000</v>
      </c>
      <c r="M10" s="3">
        <v>900</v>
      </c>
      <c r="N10"/>
      <c r="O10"/>
    </row>
    <row r="11" spans="1:15" x14ac:dyDescent="0.35">
      <c r="A11" s="44" t="s">
        <v>54</v>
      </c>
      <c r="B11" s="1" t="s">
        <v>30</v>
      </c>
      <c r="C11" s="1" t="s">
        <v>48</v>
      </c>
      <c r="D11" s="1">
        <v>3</v>
      </c>
      <c r="E11" s="15" t="s">
        <v>20</v>
      </c>
      <c r="F11" s="15" t="s">
        <v>2</v>
      </c>
      <c r="G11" s="2">
        <v>46214</v>
      </c>
      <c r="H11" s="15" t="s">
        <v>16</v>
      </c>
      <c r="I11" s="15">
        <v>20</v>
      </c>
      <c r="J11" s="15">
        <v>80</v>
      </c>
      <c r="K11" s="15">
        <v>72</v>
      </c>
      <c r="L11" s="3">
        <v>1600</v>
      </c>
      <c r="M11" s="3">
        <v>1440</v>
      </c>
      <c r="N11"/>
      <c r="O11"/>
    </row>
    <row r="12" spans="1:15" x14ac:dyDescent="0.35">
      <c r="A12" s="44" t="s">
        <v>54</v>
      </c>
      <c r="B12" s="1" t="s">
        <v>30</v>
      </c>
      <c r="C12" s="1" t="s">
        <v>48</v>
      </c>
      <c r="D12" s="1">
        <v>3</v>
      </c>
      <c r="E12" s="15" t="s">
        <v>20</v>
      </c>
      <c r="F12" s="15" t="s">
        <v>3</v>
      </c>
      <c r="G12" s="2">
        <v>46221</v>
      </c>
      <c r="H12" s="15" t="s">
        <v>16</v>
      </c>
      <c r="I12" s="15">
        <v>20</v>
      </c>
      <c r="J12" s="15">
        <v>80</v>
      </c>
      <c r="K12" s="15">
        <v>72</v>
      </c>
      <c r="L12" s="3">
        <v>1600</v>
      </c>
      <c r="M12" s="3">
        <v>1440</v>
      </c>
      <c r="N12"/>
      <c r="O12"/>
    </row>
    <row r="13" spans="1:15" x14ac:dyDescent="0.35">
      <c r="A13" s="44" t="s">
        <v>56</v>
      </c>
      <c r="B13" s="1" t="s">
        <v>32</v>
      </c>
      <c r="C13" s="1" t="s">
        <v>48</v>
      </c>
      <c r="D13" s="1">
        <v>3</v>
      </c>
      <c r="E13" s="15" t="s">
        <v>20</v>
      </c>
      <c r="F13" s="15" t="s">
        <v>4</v>
      </c>
      <c r="G13" s="2">
        <v>46228</v>
      </c>
      <c r="H13" s="15" t="s">
        <v>16</v>
      </c>
      <c r="I13" s="15">
        <v>10</v>
      </c>
      <c r="J13" s="15">
        <v>80</v>
      </c>
      <c r="K13" s="15">
        <v>72</v>
      </c>
      <c r="L13" s="3">
        <v>800</v>
      </c>
      <c r="M13" s="3">
        <v>720</v>
      </c>
      <c r="N13"/>
      <c r="O13"/>
    </row>
    <row r="14" spans="1:15" x14ac:dyDescent="0.35">
      <c r="A14" s="44" t="s">
        <v>56</v>
      </c>
      <c r="B14" s="1" t="s">
        <v>32</v>
      </c>
      <c r="C14" s="1" t="s">
        <v>48</v>
      </c>
      <c r="D14" s="1">
        <v>3</v>
      </c>
      <c r="E14" s="15" t="s">
        <v>20</v>
      </c>
      <c r="F14" s="15" t="s">
        <v>5</v>
      </c>
      <c r="G14" s="2">
        <v>46235</v>
      </c>
      <c r="H14" s="15" t="s">
        <v>17</v>
      </c>
      <c r="I14" s="15">
        <v>10</v>
      </c>
      <c r="J14" s="15">
        <v>84</v>
      </c>
      <c r="K14" s="15">
        <v>75.599999999999994</v>
      </c>
      <c r="L14" s="3">
        <v>840</v>
      </c>
      <c r="M14" s="3">
        <v>756</v>
      </c>
      <c r="N14"/>
      <c r="O14"/>
    </row>
    <row r="15" spans="1:15" x14ac:dyDescent="0.35">
      <c r="A15" s="44" t="s">
        <v>53</v>
      </c>
      <c r="B15" s="1" t="s">
        <v>29</v>
      </c>
      <c r="C15" s="1" t="s">
        <v>48</v>
      </c>
      <c r="D15" s="1">
        <v>4</v>
      </c>
      <c r="E15" s="15" t="s">
        <v>21</v>
      </c>
      <c r="F15" s="15" t="s">
        <v>2</v>
      </c>
      <c r="G15" s="2">
        <v>46214</v>
      </c>
      <c r="H15" s="15" t="s">
        <v>16</v>
      </c>
      <c r="I15" s="15">
        <v>10</v>
      </c>
      <c r="J15" s="15">
        <v>80</v>
      </c>
      <c r="K15" s="15">
        <v>72</v>
      </c>
      <c r="L15" s="3">
        <v>800</v>
      </c>
      <c r="M15" s="3">
        <v>720</v>
      </c>
      <c r="N15"/>
      <c r="O15"/>
    </row>
    <row r="16" spans="1:15" x14ac:dyDescent="0.35">
      <c r="A16" s="44" t="s">
        <v>53</v>
      </c>
      <c r="B16" s="1" t="s">
        <v>29</v>
      </c>
      <c r="C16" s="1" t="s">
        <v>48</v>
      </c>
      <c r="D16" s="1">
        <v>4</v>
      </c>
      <c r="E16" s="15" t="s">
        <v>21</v>
      </c>
      <c r="F16" s="15" t="s">
        <v>3</v>
      </c>
      <c r="G16" s="2">
        <v>46221</v>
      </c>
      <c r="H16" s="15" t="s">
        <v>16</v>
      </c>
      <c r="I16" s="15">
        <v>10</v>
      </c>
      <c r="J16" s="15">
        <v>80</v>
      </c>
      <c r="K16" s="15">
        <v>72</v>
      </c>
      <c r="L16" s="3">
        <v>800</v>
      </c>
      <c r="M16" s="3">
        <v>720</v>
      </c>
      <c r="N16"/>
      <c r="O16"/>
    </row>
    <row r="17" spans="1:15" x14ac:dyDescent="0.35">
      <c r="A17" s="44" t="s">
        <v>55</v>
      </c>
      <c r="B17" s="1" t="s">
        <v>31</v>
      </c>
      <c r="C17" s="1" t="s">
        <v>48</v>
      </c>
      <c r="D17" s="1">
        <v>4</v>
      </c>
      <c r="E17" s="15" t="s">
        <v>21</v>
      </c>
      <c r="F17" s="15" t="s">
        <v>4</v>
      </c>
      <c r="G17" s="2">
        <v>46228</v>
      </c>
      <c r="H17" s="15" t="s">
        <v>16</v>
      </c>
      <c r="I17" s="15">
        <v>10</v>
      </c>
      <c r="J17" s="15">
        <v>80</v>
      </c>
      <c r="K17" s="15">
        <v>72</v>
      </c>
      <c r="L17" s="3">
        <v>800</v>
      </c>
      <c r="M17" s="3">
        <v>720</v>
      </c>
      <c r="N17"/>
      <c r="O17"/>
    </row>
    <row r="18" spans="1:15" x14ac:dyDescent="0.35">
      <c r="A18" s="44" t="s">
        <v>55</v>
      </c>
      <c r="B18" s="1" t="s">
        <v>31</v>
      </c>
      <c r="C18" s="1" t="s">
        <v>48</v>
      </c>
      <c r="D18" s="1">
        <v>4</v>
      </c>
      <c r="E18" s="15" t="s">
        <v>21</v>
      </c>
      <c r="F18" s="15" t="s">
        <v>5</v>
      </c>
      <c r="G18" s="2">
        <v>46235</v>
      </c>
      <c r="H18" s="15" t="s">
        <v>17</v>
      </c>
      <c r="I18" s="15">
        <v>10</v>
      </c>
      <c r="J18" s="15">
        <v>84</v>
      </c>
      <c r="K18" s="15">
        <v>75.599999999999994</v>
      </c>
      <c r="L18" s="3">
        <v>840</v>
      </c>
      <c r="M18" s="3">
        <v>756</v>
      </c>
      <c r="N18"/>
      <c r="O18"/>
    </row>
    <row r="19" spans="1:15" x14ac:dyDescent="0.35">
      <c r="A19" s="44" t="s">
        <v>55</v>
      </c>
      <c r="B19" s="1" t="s">
        <v>31</v>
      </c>
      <c r="C19" s="1" t="s">
        <v>49</v>
      </c>
      <c r="D19" s="1">
        <v>5</v>
      </c>
      <c r="E19" s="15" t="s">
        <v>22</v>
      </c>
      <c r="F19" s="15" t="s">
        <v>4</v>
      </c>
      <c r="G19" s="2">
        <v>46228</v>
      </c>
      <c r="H19" s="15" t="s">
        <v>16</v>
      </c>
      <c r="I19" s="15">
        <v>20</v>
      </c>
      <c r="J19" s="15">
        <v>60</v>
      </c>
      <c r="K19" s="15">
        <v>54</v>
      </c>
      <c r="L19" s="3">
        <v>1200</v>
      </c>
      <c r="M19" s="3">
        <v>1080</v>
      </c>
      <c r="N19"/>
      <c r="O19"/>
    </row>
    <row r="20" spans="1:15" x14ac:dyDescent="0.35">
      <c r="A20" s="44" t="s">
        <v>55</v>
      </c>
      <c r="B20" s="1" t="s">
        <v>31</v>
      </c>
      <c r="C20" s="1" t="s">
        <v>49</v>
      </c>
      <c r="D20" s="1">
        <v>5</v>
      </c>
      <c r="E20" s="15" t="s">
        <v>22</v>
      </c>
      <c r="F20" s="15" t="s">
        <v>5</v>
      </c>
      <c r="G20" s="2">
        <v>46235</v>
      </c>
      <c r="H20" s="15" t="s">
        <v>17</v>
      </c>
      <c r="I20" s="15">
        <v>20</v>
      </c>
      <c r="J20" s="15">
        <v>63</v>
      </c>
      <c r="K20" s="15">
        <v>56.7</v>
      </c>
      <c r="L20" s="3">
        <v>1260</v>
      </c>
      <c r="M20" s="3">
        <v>1134</v>
      </c>
      <c r="N20"/>
      <c r="O20"/>
    </row>
    <row r="21" spans="1:15" x14ac:dyDescent="0.35">
      <c r="A21" s="44" t="s">
        <v>57</v>
      </c>
      <c r="B21" s="1" t="s">
        <v>33</v>
      </c>
      <c r="C21" s="1" t="s">
        <v>49</v>
      </c>
      <c r="D21" s="1">
        <v>5</v>
      </c>
      <c r="E21" s="15" t="s">
        <v>22</v>
      </c>
      <c r="F21" s="15" t="s">
        <v>6</v>
      </c>
      <c r="G21" s="2">
        <v>46242</v>
      </c>
      <c r="H21" s="15" t="s">
        <v>17</v>
      </c>
      <c r="I21" s="15">
        <v>10</v>
      </c>
      <c r="J21" s="15">
        <v>63</v>
      </c>
      <c r="K21" s="15">
        <v>56.7</v>
      </c>
      <c r="L21" s="3">
        <v>630</v>
      </c>
      <c r="M21" s="3">
        <v>567</v>
      </c>
      <c r="N21"/>
      <c r="O21"/>
    </row>
    <row r="22" spans="1:15" x14ac:dyDescent="0.35">
      <c r="A22" s="44" t="s">
        <v>56</v>
      </c>
      <c r="B22" s="1" t="s">
        <v>32</v>
      </c>
      <c r="C22" s="1" t="s">
        <v>49</v>
      </c>
      <c r="D22" s="1">
        <v>6</v>
      </c>
      <c r="E22" s="15" t="s">
        <v>23</v>
      </c>
      <c r="F22" s="15" t="s">
        <v>4</v>
      </c>
      <c r="G22" s="2">
        <v>46228</v>
      </c>
      <c r="H22" s="15" t="s">
        <v>16</v>
      </c>
      <c r="I22" s="15">
        <v>20</v>
      </c>
      <c r="J22" s="15">
        <v>60</v>
      </c>
      <c r="K22" s="15">
        <v>54</v>
      </c>
      <c r="L22" s="3">
        <v>1200</v>
      </c>
      <c r="M22" s="3">
        <v>1080</v>
      </c>
      <c r="N22"/>
      <c r="O22"/>
    </row>
    <row r="23" spans="1:15" x14ac:dyDescent="0.35">
      <c r="A23" s="44" t="s">
        <v>56</v>
      </c>
      <c r="B23" s="1" t="s">
        <v>32</v>
      </c>
      <c r="C23" s="1" t="s">
        <v>49</v>
      </c>
      <c r="D23" s="1">
        <v>6</v>
      </c>
      <c r="E23" s="15" t="s">
        <v>23</v>
      </c>
      <c r="F23" s="15" t="s">
        <v>5</v>
      </c>
      <c r="G23" s="2">
        <v>46235</v>
      </c>
      <c r="H23" s="15" t="s">
        <v>17</v>
      </c>
      <c r="I23" s="15">
        <v>20</v>
      </c>
      <c r="J23" s="15">
        <v>63</v>
      </c>
      <c r="K23" s="15">
        <v>56.7</v>
      </c>
      <c r="L23" s="3">
        <v>1260</v>
      </c>
      <c r="M23" s="3">
        <v>1134</v>
      </c>
      <c r="N23"/>
      <c r="O23"/>
    </row>
    <row r="24" spans="1:15" x14ac:dyDescent="0.35">
      <c r="A24" s="44" t="s">
        <v>57</v>
      </c>
      <c r="B24" s="1" t="s">
        <v>33</v>
      </c>
      <c r="C24" s="1" t="s">
        <v>49</v>
      </c>
      <c r="D24" s="1">
        <v>5</v>
      </c>
      <c r="E24" s="15" t="s">
        <v>22</v>
      </c>
      <c r="F24" s="15" t="s">
        <v>7</v>
      </c>
      <c r="G24" s="2">
        <v>46249</v>
      </c>
      <c r="H24" s="15" t="s">
        <v>17</v>
      </c>
      <c r="I24" s="15">
        <v>10</v>
      </c>
      <c r="J24" s="15">
        <v>63</v>
      </c>
      <c r="K24" s="15">
        <v>56.7</v>
      </c>
      <c r="L24" s="3">
        <v>630</v>
      </c>
      <c r="M24" s="3">
        <v>567</v>
      </c>
      <c r="N24"/>
      <c r="O24"/>
    </row>
    <row r="25" spans="1:15" x14ac:dyDescent="0.35">
      <c r="A25" s="44" t="s">
        <v>57</v>
      </c>
      <c r="B25" s="1" t="s">
        <v>33</v>
      </c>
      <c r="C25" s="1" t="s">
        <v>49</v>
      </c>
      <c r="D25" s="1">
        <v>5</v>
      </c>
      <c r="E25" s="15" t="s">
        <v>22</v>
      </c>
      <c r="F25" s="15" t="s">
        <v>8</v>
      </c>
      <c r="G25" s="2">
        <v>46256</v>
      </c>
      <c r="H25" s="15" t="s">
        <v>17</v>
      </c>
      <c r="I25" s="15">
        <v>10</v>
      </c>
      <c r="J25" s="15">
        <v>63</v>
      </c>
      <c r="K25" s="15">
        <v>56.7</v>
      </c>
      <c r="L25" s="3">
        <v>630</v>
      </c>
      <c r="M25" s="3">
        <v>567</v>
      </c>
      <c r="N25"/>
      <c r="O25"/>
    </row>
    <row r="26" spans="1:15" x14ac:dyDescent="0.35">
      <c r="A26" s="44" t="s">
        <v>57</v>
      </c>
      <c r="B26" s="1" t="s">
        <v>33</v>
      </c>
      <c r="C26" s="1" t="s">
        <v>51</v>
      </c>
      <c r="D26" s="1">
        <v>9</v>
      </c>
      <c r="E26" s="15" t="s">
        <v>26</v>
      </c>
      <c r="F26" s="15" t="s">
        <v>6</v>
      </c>
      <c r="G26" s="2">
        <v>46242</v>
      </c>
      <c r="H26" s="15" t="s">
        <v>17</v>
      </c>
      <c r="I26" s="15">
        <v>40</v>
      </c>
      <c r="J26" s="15">
        <v>21</v>
      </c>
      <c r="K26" s="15">
        <v>18.899999999999999</v>
      </c>
      <c r="L26" s="3">
        <v>840</v>
      </c>
      <c r="M26" s="3">
        <v>756</v>
      </c>
      <c r="N26"/>
      <c r="O26"/>
    </row>
    <row r="27" spans="1:15" x14ac:dyDescent="0.35">
      <c r="A27" s="44" t="s">
        <v>57</v>
      </c>
      <c r="B27" s="1" t="s">
        <v>33</v>
      </c>
      <c r="C27" s="1" t="s">
        <v>51</v>
      </c>
      <c r="D27" s="1">
        <v>9</v>
      </c>
      <c r="E27" s="15" t="s">
        <v>26</v>
      </c>
      <c r="F27" s="15" t="s">
        <v>7</v>
      </c>
      <c r="G27" s="2">
        <v>46249</v>
      </c>
      <c r="H27" s="15" t="s">
        <v>17</v>
      </c>
      <c r="I27" s="15">
        <v>40</v>
      </c>
      <c r="J27" s="15">
        <v>21</v>
      </c>
      <c r="K27" s="15">
        <v>18.899999999999999</v>
      </c>
      <c r="L27" s="3">
        <v>840</v>
      </c>
      <c r="M27" s="3">
        <v>756</v>
      </c>
      <c r="N27"/>
      <c r="O27"/>
    </row>
    <row r="28" spans="1:15" x14ac:dyDescent="0.35">
      <c r="A28" s="44" t="s">
        <v>57</v>
      </c>
      <c r="B28" s="1" t="s">
        <v>33</v>
      </c>
      <c r="C28" s="1" t="s">
        <v>51</v>
      </c>
      <c r="D28" s="1">
        <v>9</v>
      </c>
      <c r="E28" s="15" t="s">
        <v>26</v>
      </c>
      <c r="F28" s="15" t="s">
        <v>8</v>
      </c>
      <c r="G28" s="2">
        <v>46256</v>
      </c>
      <c r="H28" s="15" t="s">
        <v>17</v>
      </c>
      <c r="I28" s="15">
        <v>40</v>
      </c>
      <c r="J28" s="15">
        <v>21</v>
      </c>
      <c r="K28" s="15">
        <v>18.899999999999999</v>
      </c>
      <c r="L28" s="3">
        <v>840</v>
      </c>
      <c r="M28" s="3">
        <v>756</v>
      </c>
      <c r="N28"/>
      <c r="O28"/>
    </row>
    <row r="29" spans="1:15" x14ac:dyDescent="0.35">
      <c r="A29" s="44" t="s">
        <v>58</v>
      </c>
      <c r="B29" s="1" t="s">
        <v>34</v>
      </c>
      <c r="C29" s="1" t="s">
        <v>49</v>
      </c>
      <c r="D29" s="1">
        <v>6</v>
      </c>
      <c r="E29" s="15" t="s">
        <v>23</v>
      </c>
      <c r="F29" s="15" t="s">
        <v>6</v>
      </c>
      <c r="G29" s="2">
        <v>46242</v>
      </c>
      <c r="H29" s="15" t="s">
        <v>17</v>
      </c>
      <c r="I29" s="15">
        <v>10</v>
      </c>
      <c r="J29" s="15">
        <v>63</v>
      </c>
      <c r="K29" s="15">
        <v>56.7</v>
      </c>
      <c r="L29" s="3">
        <v>630</v>
      </c>
      <c r="M29" s="3">
        <v>567</v>
      </c>
      <c r="N29"/>
      <c r="O29"/>
    </row>
    <row r="30" spans="1:15" x14ac:dyDescent="0.35">
      <c r="A30" s="44" t="s">
        <v>58</v>
      </c>
      <c r="B30" s="1" t="s">
        <v>34</v>
      </c>
      <c r="C30" s="1" t="s">
        <v>49</v>
      </c>
      <c r="D30" s="1">
        <v>6</v>
      </c>
      <c r="E30" s="15" t="s">
        <v>23</v>
      </c>
      <c r="F30" s="15" t="s">
        <v>7</v>
      </c>
      <c r="G30" s="2">
        <v>46249</v>
      </c>
      <c r="H30" s="15" t="s">
        <v>17</v>
      </c>
      <c r="I30" s="15">
        <v>10</v>
      </c>
      <c r="J30" s="15">
        <v>63</v>
      </c>
      <c r="K30" s="15">
        <v>56.7</v>
      </c>
      <c r="L30" s="3">
        <v>630</v>
      </c>
      <c r="M30" s="3">
        <v>567</v>
      </c>
      <c r="N30"/>
      <c r="O30"/>
    </row>
    <row r="31" spans="1:15" x14ac:dyDescent="0.35">
      <c r="A31" s="44" t="s">
        <v>58</v>
      </c>
      <c r="B31" s="1" t="s">
        <v>34</v>
      </c>
      <c r="C31" s="1" t="s">
        <v>49</v>
      </c>
      <c r="D31" s="1">
        <v>6</v>
      </c>
      <c r="E31" s="15" t="s">
        <v>23</v>
      </c>
      <c r="F31" s="15" t="s">
        <v>8</v>
      </c>
      <c r="G31" s="2">
        <v>46256</v>
      </c>
      <c r="H31" s="15" t="s">
        <v>17</v>
      </c>
      <c r="I31" s="15">
        <v>10</v>
      </c>
      <c r="J31" s="15">
        <v>63</v>
      </c>
      <c r="K31" s="15">
        <v>56.7</v>
      </c>
      <c r="L31" s="3">
        <v>630</v>
      </c>
      <c r="M31" s="3">
        <v>567</v>
      </c>
      <c r="N31"/>
      <c r="O31"/>
    </row>
    <row r="32" spans="1:15" x14ac:dyDescent="0.35">
      <c r="A32" s="44" t="s">
        <v>58</v>
      </c>
      <c r="B32" s="1" t="s">
        <v>34</v>
      </c>
      <c r="C32" s="1" t="s">
        <v>50</v>
      </c>
      <c r="D32" s="1">
        <v>7</v>
      </c>
      <c r="E32" s="15" t="s">
        <v>24</v>
      </c>
      <c r="F32" s="15" t="s">
        <v>6</v>
      </c>
      <c r="G32" s="2">
        <v>46242</v>
      </c>
      <c r="H32" s="15" t="s">
        <v>17</v>
      </c>
      <c r="I32" s="15">
        <v>40</v>
      </c>
      <c r="J32" s="15">
        <v>42</v>
      </c>
      <c r="K32" s="15">
        <v>37.799999999999997</v>
      </c>
      <c r="L32" s="3">
        <v>1680</v>
      </c>
      <c r="M32" s="3">
        <v>1512</v>
      </c>
      <c r="N32"/>
      <c r="O32"/>
    </row>
    <row r="33" spans="1:15" x14ac:dyDescent="0.35">
      <c r="A33" s="44" t="s">
        <v>58</v>
      </c>
      <c r="B33" s="1" t="s">
        <v>34</v>
      </c>
      <c r="C33" s="1" t="s">
        <v>50</v>
      </c>
      <c r="D33" s="1">
        <v>7</v>
      </c>
      <c r="E33" s="15" t="s">
        <v>24</v>
      </c>
      <c r="F33" s="15" t="s">
        <v>7</v>
      </c>
      <c r="G33" s="2">
        <v>46249</v>
      </c>
      <c r="H33" s="15" t="s">
        <v>17</v>
      </c>
      <c r="I33" s="15">
        <v>40</v>
      </c>
      <c r="J33" s="15">
        <v>42</v>
      </c>
      <c r="K33" s="15">
        <v>37.799999999999997</v>
      </c>
      <c r="L33" s="3">
        <v>1680</v>
      </c>
      <c r="M33" s="3">
        <v>1512</v>
      </c>
      <c r="N33"/>
      <c r="O33"/>
    </row>
    <row r="34" spans="1:15" x14ac:dyDescent="0.35">
      <c r="A34" s="44" t="s">
        <v>58</v>
      </c>
      <c r="B34" s="1" t="s">
        <v>34</v>
      </c>
      <c r="C34" s="1" t="s">
        <v>50</v>
      </c>
      <c r="D34" s="1">
        <v>7</v>
      </c>
      <c r="E34" s="15" t="s">
        <v>24</v>
      </c>
      <c r="F34" s="15" t="s">
        <v>8</v>
      </c>
      <c r="G34" s="2">
        <v>46256</v>
      </c>
      <c r="H34" s="15" t="s">
        <v>17</v>
      </c>
      <c r="I34" s="15">
        <v>40</v>
      </c>
      <c r="J34" s="15">
        <v>42</v>
      </c>
      <c r="K34" s="15">
        <v>37.799999999999997</v>
      </c>
      <c r="L34" s="3">
        <v>1680</v>
      </c>
      <c r="M34" s="3">
        <v>1512</v>
      </c>
      <c r="N34"/>
      <c r="O34"/>
    </row>
    <row r="35" spans="1:15" x14ac:dyDescent="0.35">
      <c r="A35" s="44" t="s">
        <v>59</v>
      </c>
      <c r="B35" s="1" t="s">
        <v>35</v>
      </c>
      <c r="C35" s="1" t="s">
        <v>49</v>
      </c>
      <c r="D35" s="1">
        <v>6</v>
      </c>
      <c r="E35" s="15" t="s">
        <v>23</v>
      </c>
      <c r="F35" s="15" t="s">
        <v>9</v>
      </c>
      <c r="G35" s="2">
        <v>46263</v>
      </c>
      <c r="H35" s="15" t="s">
        <v>17</v>
      </c>
      <c r="I35" s="15">
        <v>10</v>
      </c>
      <c r="J35" s="15">
        <v>63</v>
      </c>
      <c r="K35" s="15">
        <v>56.7</v>
      </c>
      <c r="L35" s="3">
        <v>630</v>
      </c>
      <c r="M35" s="3">
        <v>567</v>
      </c>
      <c r="N35"/>
      <c r="O35"/>
    </row>
    <row r="36" spans="1:15" x14ac:dyDescent="0.35">
      <c r="A36" s="44" t="s">
        <v>59</v>
      </c>
      <c r="B36" s="1" t="s">
        <v>35</v>
      </c>
      <c r="C36" s="1" t="s">
        <v>49</v>
      </c>
      <c r="D36" s="1">
        <v>6</v>
      </c>
      <c r="E36" s="15" t="s">
        <v>23</v>
      </c>
      <c r="F36" s="15" t="s">
        <v>10</v>
      </c>
      <c r="G36" s="2">
        <v>46270</v>
      </c>
      <c r="H36" s="15" t="s">
        <v>17</v>
      </c>
      <c r="I36" s="15">
        <v>10</v>
      </c>
      <c r="J36" s="15">
        <v>63</v>
      </c>
      <c r="K36" s="15">
        <v>56.7</v>
      </c>
      <c r="L36" s="3">
        <v>630</v>
      </c>
      <c r="M36" s="3">
        <v>567</v>
      </c>
      <c r="N36"/>
      <c r="O36"/>
    </row>
    <row r="37" spans="1:15" x14ac:dyDescent="0.35">
      <c r="A37" s="44" t="s">
        <v>59</v>
      </c>
      <c r="B37" s="1" t="s">
        <v>35</v>
      </c>
      <c r="C37" s="1" t="s">
        <v>51</v>
      </c>
      <c r="D37" s="1">
        <v>9</v>
      </c>
      <c r="E37" s="15" t="s">
        <v>26</v>
      </c>
      <c r="F37" s="15" t="s">
        <v>9</v>
      </c>
      <c r="G37" s="2">
        <v>46263</v>
      </c>
      <c r="H37" s="15" t="s">
        <v>17</v>
      </c>
      <c r="I37" s="15">
        <v>40</v>
      </c>
      <c r="J37" s="15">
        <v>21</v>
      </c>
      <c r="K37" s="15">
        <v>18.899999999999999</v>
      </c>
      <c r="L37" s="3">
        <v>840</v>
      </c>
      <c r="M37" s="3">
        <v>756</v>
      </c>
      <c r="N37"/>
      <c r="O37"/>
    </row>
    <row r="38" spans="1:15" x14ac:dyDescent="0.35">
      <c r="A38" s="44" t="s">
        <v>59</v>
      </c>
      <c r="B38" s="1" t="s">
        <v>35</v>
      </c>
      <c r="C38" s="1" t="s">
        <v>51</v>
      </c>
      <c r="D38" s="1">
        <v>9</v>
      </c>
      <c r="E38" s="15" t="s">
        <v>26</v>
      </c>
      <c r="F38" s="15" t="s">
        <v>10</v>
      </c>
      <c r="G38" s="2">
        <v>46270</v>
      </c>
      <c r="H38" s="15" t="s">
        <v>17</v>
      </c>
      <c r="I38" s="15">
        <v>40</v>
      </c>
      <c r="J38" s="15">
        <v>21</v>
      </c>
      <c r="K38" s="15">
        <v>18.899999999999999</v>
      </c>
      <c r="L38" s="3">
        <v>840</v>
      </c>
      <c r="M38" s="3">
        <v>756</v>
      </c>
      <c r="N38"/>
      <c r="O38"/>
    </row>
    <row r="39" spans="1:15" x14ac:dyDescent="0.35">
      <c r="A39" s="44" t="s">
        <v>60</v>
      </c>
      <c r="B39" s="1" t="s">
        <v>36</v>
      </c>
      <c r="C39" s="1" t="s">
        <v>49</v>
      </c>
      <c r="D39" s="1">
        <v>5</v>
      </c>
      <c r="E39" s="15" t="s">
        <v>22</v>
      </c>
      <c r="F39" s="15" t="s">
        <v>9</v>
      </c>
      <c r="G39" s="2">
        <v>46263</v>
      </c>
      <c r="H39" s="15" t="s">
        <v>17</v>
      </c>
      <c r="I39" s="15">
        <v>10</v>
      </c>
      <c r="J39" s="15">
        <v>63</v>
      </c>
      <c r="K39" s="15">
        <v>56.7</v>
      </c>
      <c r="L39" s="3">
        <v>630</v>
      </c>
      <c r="M39" s="3">
        <v>567</v>
      </c>
      <c r="N39"/>
      <c r="O39"/>
    </row>
    <row r="40" spans="1:15" x14ac:dyDescent="0.35">
      <c r="A40" s="44" t="s">
        <v>60</v>
      </c>
      <c r="B40" s="1" t="s">
        <v>36</v>
      </c>
      <c r="C40" s="1" t="s">
        <v>49</v>
      </c>
      <c r="D40" s="1">
        <v>5</v>
      </c>
      <c r="E40" s="15" t="s">
        <v>22</v>
      </c>
      <c r="F40" s="15" t="s">
        <v>10</v>
      </c>
      <c r="G40" s="2">
        <v>46270</v>
      </c>
      <c r="H40" s="15" t="s">
        <v>17</v>
      </c>
      <c r="I40" s="15">
        <v>10</v>
      </c>
      <c r="J40" s="15">
        <v>63</v>
      </c>
      <c r="K40" s="15">
        <v>56.7</v>
      </c>
      <c r="L40" s="3">
        <v>630</v>
      </c>
      <c r="M40" s="3">
        <v>567</v>
      </c>
      <c r="N40"/>
      <c r="O40"/>
    </row>
    <row r="41" spans="1:15" x14ac:dyDescent="0.35">
      <c r="A41" s="44" t="s">
        <v>60</v>
      </c>
      <c r="B41" s="1" t="s">
        <v>36</v>
      </c>
      <c r="C41" s="1" t="s">
        <v>51</v>
      </c>
      <c r="D41" s="1">
        <v>10</v>
      </c>
      <c r="E41" s="15" t="s">
        <v>27</v>
      </c>
      <c r="F41" s="15" t="s">
        <v>9</v>
      </c>
      <c r="G41" s="2">
        <v>46263</v>
      </c>
      <c r="H41" s="15" t="s">
        <v>17</v>
      </c>
      <c r="I41" s="15">
        <v>40</v>
      </c>
      <c r="J41" s="15">
        <v>21</v>
      </c>
      <c r="K41" s="15">
        <v>18.899999999999999</v>
      </c>
      <c r="L41" s="3">
        <v>840</v>
      </c>
      <c r="M41" s="3">
        <v>756</v>
      </c>
      <c r="N41"/>
      <c r="O41"/>
    </row>
    <row r="42" spans="1:15" x14ac:dyDescent="0.35">
      <c r="A42" s="44" t="s">
        <v>60</v>
      </c>
      <c r="B42" s="1" t="s">
        <v>36</v>
      </c>
      <c r="C42" s="1" t="s">
        <v>51</v>
      </c>
      <c r="D42" s="1">
        <v>10</v>
      </c>
      <c r="E42" s="15" t="s">
        <v>27</v>
      </c>
      <c r="F42" s="15" t="s">
        <v>10</v>
      </c>
      <c r="G42" s="2">
        <v>46270</v>
      </c>
      <c r="H42" s="15" t="s">
        <v>17</v>
      </c>
      <c r="I42" s="15">
        <v>40</v>
      </c>
      <c r="J42" s="15">
        <v>21</v>
      </c>
      <c r="K42" s="15">
        <v>18.899999999999999</v>
      </c>
      <c r="L42" s="3">
        <v>840</v>
      </c>
      <c r="M42" s="3">
        <v>756</v>
      </c>
      <c r="N42"/>
      <c r="O42"/>
    </row>
    <row r="43" spans="1:15" x14ac:dyDescent="0.35">
      <c r="A43" s="44" t="s">
        <v>61</v>
      </c>
      <c r="B43" s="1" t="s">
        <v>37</v>
      </c>
      <c r="C43" s="1" t="s">
        <v>48</v>
      </c>
      <c r="D43" s="1">
        <v>3</v>
      </c>
      <c r="E43" s="15" t="s">
        <v>20</v>
      </c>
      <c r="F43" s="15" t="s">
        <v>9</v>
      </c>
      <c r="G43" s="2">
        <v>46263</v>
      </c>
      <c r="H43" s="15" t="s">
        <v>17</v>
      </c>
      <c r="I43" s="15">
        <v>10</v>
      </c>
      <c r="J43" s="15">
        <v>84</v>
      </c>
      <c r="K43" s="15">
        <v>75.599999999999994</v>
      </c>
      <c r="L43" s="3">
        <v>840</v>
      </c>
      <c r="M43" s="3">
        <v>756</v>
      </c>
      <c r="N43"/>
      <c r="O43"/>
    </row>
    <row r="44" spans="1:15" x14ac:dyDescent="0.35">
      <c r="A44" s="44" t="s">
        <v>61</v>
      </c>
      <c r="B44" s="1" t="s">
        <v>37</v>
      </c>
      <c r="C44" s="1" t="s">
        <v>48</v>
      </c>
      <c r="D44" s="1">
        <v>3</v>
      </c>
      <c r="E44" s="15" t="s">
        <v>20</v>
      </c>
      <c r="F44" s="15" t="s">
        <v>10</v>
      </c>
      <c r="G44" s="2">
        <v>46270</v>
      </c>
      <c r="H44" s="15" t="s">
        <v>17</v>
      </c>
      <c r="I44" s="15">
        <v>10</v>
      </c>
      <c r="J44" s="15">
        <v>84</v>
      </c>
      <c r="K44" s="15">
        <v>75.599999999999994</v>
      </c>
      <c r="L44" s="3">
        <v>840</v>
      </c>
      <c r="M44" s="3">
        <v>756</v>
      </c>
      <c r="N44"/>
      <c r="O44"/>
    </row>
    <row r="45" spans="1:15" x14ac:dyDescent="0.35">
      <c r="A45" s="44" t="s">
        <v>61</v>
      </c>
      <c r="B45" s="1" t="s">
        <v>37</v>
      </c>
      <c r="C45" s="1" t="s">
        <v>51</v>
      </c>
      <c r="D45" s="1">
        <v>9</v>
      </c>
      <c r="E45" s="15" t="s">
        <v>26</v>
      </c>
      <c r="F45" s="15" t="s">
        <v>9</v>
      </c>
      <c r="G45" s="2">
        <v>46263</v>
      </c>
      <c r="H45" s="15" t="s">
        <v>17</v>
      </c>
      <c r="I45" s="15">
        <v>40</v>
      </c>
      <c r="J45" s="15">
        <v>21</v>
      </c>
      <c r="K45" s="15">
        <v>18.899999999999999</v>
      </c>
      <c r="L45" s="3">
        <v>840</v>
      </c>
      <c r="M45" s="3">
        <v>756</v>
      </c>
      <c r="N45"/>
      <c r="O45"/>
    </row>
    <row r="46" spans="1:15" x14ac:dyDescent="0.35">
      <c r="A46" s="44" t="s">
        <v>61</v>
      </c>
      <c r="B46" s="1" t="s">
        <v>37</v>
      </c>
      <c r="C46" s="1" t="s">
        <v>51</v>
      </c>
      <c r="D46" s="1">
        <v>9</v>
      </c>
      <c r="E46" s="15" t="s">
        <v>26</v>
      </c>
      <c r="F46" s="15" t="s">
        <v>10</v>
      </c>
      <c r="G46" s="2">
        <v>46270</v>
      </c>
      <c r="H46" s="15" t="s">
        <v>17</v>
      </c>
      <c r="I46" s="15">
        <v>40</v>
      </c>
      <c r="J46" s="15">
        <v>21</v>
      </c>
      <c r="K46" s="15">
        <v>18.899999999999999</v>
      </c>
      <c r="L46" s="3">
        <v>840</v>
      </c>
      <c r="M46" s="3">
        <v>756</v>
      </c>
      <c r="N46"/>
      <c r="O46"/>
    </row>
    <row r="47" spans="1:15" x14ac:dyDescent="0.35">
      <c r="A47" s="44" t="s">
        <v>62</v>
      </c>
      <c r="B47" s="1" t="s">
        <v>38</v>
      </c>
      <c r="C47" s="1" t="s">
        <v>48</v>
      </c>
      <c r="D47" s="1">
        <v>4</v>
      </c>
      <c r="E47" s="15" t="s">
        <v>21</v>
      </c>
      <c r="F47" s="15" t="s">
        <v>11</v>
      </c>
      <c r="G47" s="2">
        <v>46277</v>
      </c>
      <c r="H47" s="15" t="s">
        <v>17</v>
      </c>
      <c r="I47" s="15">
        <v>20</v>
      </c>
      <c r="J47" s="15">
        <v>84</v>
      </c>
      <c r="K47" s="15">
        <v>75.599999999999994</v>
      </c>
      <c r="L47" s="3">
        <v>1680</v>
      </c>
      <c r="M47" s="3">
        <v>1512</v>
      </c>
      <c r="N47"/>
      <c r="O47"/>
    </row>
    <row r="48" spans="1:15" x14ac:dyDescent="0.35">
      <c r="A48" s="44" t="s">
        <v>62</v>
      </c>
      <c r="B48" s="1" t="s">
        <v>38</v>
      </c>
      <c r="C48" s="1" t="s">
        <v>48</v>
      </c>
      <c r="D48" s="1">
        <v>4</v>
      </c>
      <c r="E48" s="15" t="s">
        <v>21</v>
      </c>
      <c r="F48" s="15" t="s">
        <v>12</v>
      </c>
      <c r="G48" s="2">
        <v>46284</v>
      </c>
      <c r="H48" s="15" t="s">
        <v>17</v>
      </c>
      <c r="I48" s="15">
        <v>20</v>
      </c>
      <c r="J48" s="15">
        <v>84</v>
      </c>
      <c r="K48" s="15">
        <v>75.599999999999994</v>
      </c>
      <c r="L48" s="3">
        <v>1680</v>
      </c>
      <c r="M48" s="3">
        <v>1512</v>
      </c>
      <c r="N48"/>
      <c r="O48"/>
    </row>
    <row r="49" spans="1:15" x14ac:dyDescent="0.35">
      <c r="A49" s="44" t="s">
        <v>62</v>
      </c>
      <c r="B49" s="1" t="s">
        <v>38</v>
      </c>
      <c r="C49" s="1" t="s">
        <v>49</v>
      </c>
      <c r="D49" s="1">
        <v>5</v>
      </c>
      <c r="E49" s="15" t="s">
        <v>22</v>
      </c>
      <c r="F49" s="15" t="s">
        <v>11</v>
      </c>
      <c r="G49" s="2">
        <v>46277</v>
      </c>
      <c r="H49" s="15" t="s">
        <v>17</v>
      </c>
      <c r="I49" s="15">
        <v>30</v>
      </c>
      <c r="J49" s="15">
        <v>63</v>
      </c>
      <c r="K49" s="15">
        <v>56.7</v>
      </c>
      <c r="L49" s="3">
        <v>1890</v>
      </c>
      <c r="M49" s="3">
        <v>1701</v>
      </c>
      <c r="N49"/>
      <c r="O49"/>
    </row>
    <row r="50" spans="1:15" x14ac:dyDescent="0.35">
      <c r="A50" s="44" t="s">
        <v>62</v>
      </c>
      <c r="B50" s="1" t="s">
        <v>38</v>
      </c>
      <c r="C50" s="1" t="s">
        <v>49</v>
      </c>
      <c r="D50" s="1">
        <v>5</v>
      </c>
      <c r="E50" s="15" t="s">
        <v>22</v>
      </c>
      <c r="F50" s="15" t="s">
        <v>12</v>
      </c>
      <c r="G50" s="2">
        <v>46284</v>
      </c>
      <c r="H50" s="15" t="s">
        <v>17</v>
      </c>
      <c r="I50" s="15">
        <v>30</v>
      </c>
      <c r="J50" s="15">
        <v>63</v>
      </c>
      <c r="K50" s="15">
        <v>56.7</v>
      </c>
      <c r="L50" s="3">
        <v>1890</v>
      </c>
      <c r="M50" s="3">
        <v>1701</v>
      </c>
      <c r="N50"/>
      <c r="O50"/>
    </row>
    <row r="51" spans="1:15" x14ac:dyDescent="0.35">
      <c r="A51" s="44" t="s">
        <v>63</v>
      </c>
      <c r="B51" s="1" t="s">
        <v>39</v>
      </c>
      <c r="C51" s="1" t="s">
        <v>47</v>
      </c>
      <c r="D51" s="1">
        <v>2</v>
      </c>
      <c r="E51" s="15" t="s">
        <v>19</v>
      </c>
      <c r="F51" s="15" t="s">
        <v>13</v>
      </c>
      <c r="G51" s="2">
        <v>46291</v>
      </c>
      <c r="H51" s="15" t="s">
        <v>17</v>
      </c>
      <c r="I51" s="15">
        <v>5</v>
      </c>
      <c r="J51" s="15">
        <v>105</v>
      </c>
      <c r="K51" s="15">
        <v>94.5</v>
      </c>
      <c r="L51" s="3">
        <v>525</v>
      </c>
      <c r="M51" s="3">
        <v>472.5</v>
      </c>
      <c r="N51"/>
      <c r="O51"/>
    </row>
    <row r="52" spans="1:15" x14ac:dyDescent="0.35">
      <c r="A52" s="45" t="s">
        <v>63</v>
      </c>
      <c r="B52" s="12" t="s">
        <v>39</v>
      </c>
      <c r="C52" s="12" t="s">
        <v>48</v>
      </c>
      <c r="D52" s="12">
        <v>4</v>
      </c>
      <c r="E52" s="46" t="s">
        <v>21</v>
      </c>
      <c r="F52" s="46" t="s">
        <v>13</v>
      </c>
      <c r="G52" s="49">
        <v>46291</v>
      </c>
      <c r="H52" s="46" t="s">
        <v>17</v>
      </c>
      <c r="I52" s="46">
        <v>10</v>
      </c>
      <c r="J52" s="46">
        <v>84</v>
      </c>
      <c r="K52" s="46">
        <v>75.599999999999994</v>
      </c>
      <c r="L52" s="13">
        <v>840</v>
      </c>
      <c r="M52" s="13">
        <v>756</v>
      </c>
      <c r="N52"/>
      <c r="O52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CDD5-2673-4830-8ABF-DCAD1DDDA95A}">
  <sheetPr>
    <tabColor theme="0" tint="-0.14999847407452621"/>
  </sheetPr>
  <dimension ref="A1:Q12"/>
  <sheetViews>
    <sheetView zoomScale="75" zoomScaleNormal="75" workbookViewId="0">
      <pane ySplit="2" topLeftCell="A3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12.36328125" bestFit="1" customWidth="1"/>
    <col min="2" max="2" width="19.6328125" bestFit="1" customWidth="1"/>
    <col min="3" max="4" width="9.08984375" bestFit="1" customWidth="1"/>
    <col min="5" max="5" width="9.08984375" customWidth="1"/>
    <col min="6" max="6" width="16.1796875" bestFit="1" customWidth="1"/>
    <col min="7" max="7" width="11" customWidth="1"/>
    <col min="8" max="8" width="19.6328125" bestFit="1" customWidth="1"/>
    <col min="9" max="10" width="8.08984375" bestFit="1" customWidth="1"/>
    <col min="11" max="11" width="8.08984375" customWidth="1"/>
    <col min="12" max="12" width="16.81640625" bestFit="1" customWidth="1"/>
    <col min="13" max="13" width="13.54296875" bestFit="1" customWidth="1"/>
    <col min="14" max="14" width="19.6328125" bestFit="1" customWidth="1"/>
    <col min="15" max="16" width="8.08984375" bestFit="1" customWidth="1"/>
    <col min="17" max="17" width="8.08984375" customWidth="1"/>
  </cols>
  <sheetData>
    <row r="1" spans="1:17" x14ac:dyDescent="0.35">
      <c r="A1" s="27" t="s">
        <v>96</v>
      </c>
    </row>
    <row r="2" spans="1:17" x14ac:dyDescent="0.35">
      <c r="A2" s="8" t="s">
        <v>43</v>
      </c>
      <c r="B2" s="9" t="s">
        <v>46</v>
      </c>
      <c r="C2" s="9" t="s">
        <v>16</v>
      </c>
      <c r="D2" s="10" t="s">
        <v>17</v>
      </c>
      <c r="E2" s="5"/>
      <c r="G2" s="8" t="s">
        <v>43</v>
      </c>
      <c r="H2" s="9" t="s">
        <v>46</v>
      </c>
      <c r="I2" s="9" t="s">
        <v>16</v>
      </c>
      <c r="J2" s="10" t="s">
        <v>17</v>
      </c>
      <c r="K2" s="5"/>
      <c r="M2" s="8" t="s">
        <v>43</v>
      </c>
      <c r="N2" s="9" t="s">
        <v>46</v>
      </c>
      <c r="O2" s="9" t="s">
        <v>16</v>
      </c>
      <c r="P2" s="10" t="s">
        <v>17</v>
      </c>
      <c r="Q2" s="5"/>
    </row>
    <row r="3" spans="1:17" x14ac:dyDescent="0.35">
      <c r="A3" s="6" t="s">
        <v>42</v>
      </c>
      <c r="B3" s="1">
        <v>1</v>
      </c>
      <c r="C3" s="3">
        <v>100</v>
      </c>
      <c r="D3" s="7">
        <f>C3*(1.05)</f>
        <v>105</v>
      </c>
      <c r="E3" s="4"/>
      <c r="G3" s="6" t="s">
        <v>44</v>
      </c>
      <c r="H3" s="1">
        <v>1</v>
      </c>
      <c r="I3" s="3">
        <f>C3*0.9</f>
        <v>90</v>
      </c>
      <c r="J3" s="7">
        <f>I3*(1.05)</f>
        <v>94.5</v>
      </c>
      <c r="K3" s="4"/>
      <c r="M3" s="6" t="s">
        <v>45</v>
      </c>
      <c r="N3" s="1">
        <v>1</v>
      </c>
      <c r="O3" s="3">
        <f>I3/2</f>
        <v>45</v>
      </c>
      <c r="P3" s="7">
        <f>O3*(1.05)</f>
        <v>47.25</v>
      </c>
      <c r="Q3" s="4"/>
    </row>
    <row r="4" spans="1:17" x14ac:dyDescent="0.35">
      <c r="A4" s="6" t="s">
        <v>42</v>
      </c>
      <c r="B4" s="1">
        <v>2</v>
      </c>
      <c r="C4" s="3">
        <v>100</v>
      </c>
      <c r="D4" s="7">
        <f t="shared" ref="D4:D12" si="0">C4*(1.05)</f>
        <v>105</v>
      </c>
      <c r="E4" s="4"/>
      <c r="G4" s="6" t="s">
        <v>44</v>
      </c>
      <c r="H4" s="1">
        <v>2</v>
      </c>
      <c r="I4" s="3">
        <f>C4*0.9</f>
        <v>90</v>
      </c>
      <c r="J4" s="7">
        <f t="shared" ref="J4:J12" si="1">I4*(1.05)</f>
        <v>94.5</v>
      </c>
      <c r="K4" s="4"/>
      <c r="M4" s="6" t="s">
        <v>45</v>
      </c>
      <c r="N4" s="1">
        <v>2</v>
      </c>
      <c r="O4" s="3">
        <f t="shared" ref="O4:O12" si="2">I4/2</f>
        <v>45</v>
      </c>
      <c r="P4" s="7">
        <f t="shared" ref="P4:P12" si="3">O4*(1.05)</f>
        <v>47.25</v>
      </c>
      <c r="Q4" s="4"/>
    </row>
    <row r="5" spans="1:17" x14ac:dyDescent="0.35">
      <c r="A5" s="6" t="s">
        <v>42</v>
      </c>
      <c r="B5" s="1">
        <v>3</v>
      </c>
      <c r="C5" s="3">
        <v>80</v>
      </c>
      <c r="D5" s="7">
        <f t="shared" si="0"/>
        <v>84</v>
      </c>
      <c r="E5" s="4"/>
      <c r="G5" s="6" t="s">
        <v>44</v>
      </c>
      <c r="H5" s="1">
        <v>3</v>
      </c>
      <c r="I5" s="3">
        <f>C5*0.9</f>
        <v>72</v>
      </c>
      <c r="J5" s="7">
        <f t="shared" si="1"/>
        <v>75.600000000000009</v>
      </c>
      <c r="K5" s="4"/>
      <c r="M5" s="6" t="s">
        <v>45</v>
      </c>
      <c r="N5" s="1">
        <v>3</v>
      </c>
      <c r="O5" s="3">
        <f t="shared" si="2"/>
        <v>36</v>
      </c>
      <c r="P5" s="7">
        <f t="shared" si="3"/>
        <v>37.800000000000004</v>
      </c>
      <c r="Q5" s="4"/>
    </row>
    <row r="6" spans="1:17" x14ac:dyDescent="0.35">
      <c r="A6" s="6" t="s">
        <v>42</v>
      </c>
      <c r="B6" s="1">
        <v>4</v>
      </c>
      <c r="C6" s="3">
        <v>80</v>
      </c>
      <c r="D6" s="7">
        <f t="shared" si="0"/>
        <v>84</v>
      </c>
      <c r="E6" s="4"/>
      <c r="G6" s="6" t="s">
        <v>44</v>
      </c>
      <c r="H6" s="1">
        <v>4</v>
      </c>
      <c r="I6" s="3">
        <f>C6*0.9</f>
        <v>72</v>
      </c>
      <c r="J6" s="7">
        <f t="shared" si="1"/>
        <v>75.600000000000009</v>
      </c>
      <c r="K6" s="4"/>
      <c r="M6" s="6" t="s">
        <v>45</v>
      </c>
      <c r="N6" s="1">
        <v>4</v>
      </c>
      <c r="O6" s="3">
        <f t="shared" si="2"/>
        <v>36</v>
      </c>
      <c r="P6" s="7">
        <f t="shared" si="3"/>
        <v>37.800000000000004</v>
      </c>
      <c r="Q6" s="4"/>
    </row>
    <row r="7" spans="1:17" x14ac:dyDescent="0.35">
      <c r="A7" s="6" t="s">
        <v>42</v>
      </c>
      <c r="B7" s="1">
        <v>5</v>
      </c>
      <c r="C7" s="3">
        <v>60</v>
      </c>
      <c r="D7" s="7">
        <f t="shared" si="0"/>
        <v>63</v>
      </c>
      <c r="E7" s="4"/>
      <c r="G7" s="6" t="s">
        <v>44</v>
      </c>
      <c r="H7" s="1">
        <v>5</v>
      </c>
      <c r="I7" s="3">
        <f>C7*0.9</f>
        <v>54</v>
      </c>
      <c r="J7" s="7">
        <f t="shared" si="1"/>
        <v>56.7</v>
      </c>
      <c r="K7" s="4"/>
      <c r="M7" s="6" t="s">
        <v>45</v>
      </c>
      <c r="N7" s="1">
        <v>5</v>
      </c>
      <c r="O7" s="3">
        <f t="shared" si="2"/>
        <v>27</v>
      </c>
      <c r="P7" s="7">
        <f t="shared" si="3"/>
        <v>28.35</v>
      </c>
      <c r="Q7" s="4"/>
    </row>
    <row r="8" spans="1:17" x14ac:dyDescent="0.35">
      <c r="A8" s="6" t="s">
        <v>42</v>
      </c>
      <c r="B8" s="1">
        <v>6</v>
      </c>
      <c r="C8" s="3">
        <v>60</v>
      </c>
      <c r="D8" s="7">
        <f t="shared" si="0"/>
        <v>63</v>
      </c>
      <c r="E8" s="4"/>
      <c r="G8" s="6" t="s">
        <v>44</v>
      </c>
      <c r="H8" s="1">
        <v>6</v>
      </c>
      <c r="I8" s="3">
        <f>C8*0.9</f>
        <v>54</v>
      </c>
      <c r="J8" s="7">
        <f t="shared" si="1"/>
        <v>56.7</v>
      </c>
      <c r="K8" s="4"/>
      <c r="M8" s="6" t="s">
        <v>45</v>
      </c>
      <c r="N8" s="1">
        <v>6</v>
      </c>
      <c r="O8" s="3">
        <f t="shared" si="2"/>
        <v>27</v>
      </c>
      <c r="P8" s="7">
        <f t="shared" si="3"/>
        <v>28.35</v>
      </c>
      <c r="Q8" s="4"/>
    </row>
    <row r="9" spans="1:17" x14ac:dyDescent="0.35">
      <c r="A9" s="6" t="s">
        <v>42</v>
      </c>
      <c r="B9" s="1">
        <v>7</v>
      </c>
      <c r="C9" s="3">
        <v>40</v>
      </c>
      <c r="D9" s="7">
        <f t="shared" si="0"/>
        <v>42</v>
      </c>
      <c r="E9" s="4"/>
      <c r="G9" s="6" t="s">
        <v>44</v>
      </c>
      <c r="H9" s="1">
        <v>7</v>
      </c>
      <c r="I9" s="3">
        <f>C9*0.9</f>
        <v>36</v>
      </c>
      <c r="J9" s="7">
        <f t="shared" si="1"/>
        <v>37.800000000000004</v>
      </c>
      <c r="K9" s="4"/>
      <c r="M9" s="6" t="s">
        <v>45</v>
      </c>
      <c r="N9" s="1">
        <v>7</v>
      </c>
      <c r="O9" s="3">
        <f t="shared" si="2"/>
        <v>18</v>
      </c>
      <c r="P9" s="7">
        <f t="shared" si="3"/>
        <v>18.900000000000002</v>
      </c>
      <c r="Q9" s="4"/>
    </row>
    <row r="10" spans="1:17" x14ac:dyDescent="0.35">
      <c r="A10" s="6" t="s">
        <v>42</v>
      </c>
      <c r="B10" s="1">
        <v>8</v>
      </c>
      <c r="C10" s="3">
        <v>40</v>
      </c>
      <c r="D10" s="7">
        <f t="shared" si="0"/>
        <v>42</v>
      </c>
      <c r="E10" s="4"/>
      <c r="G10" s="6" t="s">
        <v>44</v>
      </c>
      <c r="H10" s="1">
        <v>8</v>
      </c>
      <c r="I10" s="3">
        <f>C10*0.9</f>
        <v>36</v>
      </c>
      <c r="J10" s="7">
        <f t="shared" si="1"/>
        <v>37.800000000000004</v>
      </c>
      <c r="K10" s="4"/>
      <c r="M10" s="6" t="s">
        <v>45</v>
      </c>
      <c r="N10" s="1">
        <v>8</v>
      </c>
      <c r="O10" s="3">
        <f t="shared" si="2"/>
        <v>18</v>
      </c>
      <c r="P10" s="7">
        <f t="shared" si="3"/>
        <v>18.900000000000002</v>
      </c>
      <c r="Q10" s="4"/>
    </row>
    <row r="11" spans="1:17" x14ac:dyDescent="0.35">
      <c r="A11" s="6" t="s">
        <v>42</v>
      </c>
      <c r="B11" s="1">
        <v>9</v>
      </c>
      <c r="C11" s="3">
        <v>20</v>
      </c>
      <c r="D11" s="7">
        <f t="shared" si="0"/>
        <v>21</v>
      </c>
      <c r="E11" s="4"/>
      <c r="G11" s="6" t="s">
        <v>44</v>
      </c>
      <c r="H11" s="1">
        <v>9</v>
      </c>
      <c r="I11" s="3">
        <f>C11*0.9</f>
        <v>18</v>
      </c>
      <c r="J11" s="7">
        <f t="shared" si="1"/>
        <v>18.900000000000002</v>
      </c>
      <c r="K11" s="4"/>
      <c r="M11" s="6" t="s">
        <v>45</v>
      </c>
      <c r="N11" s="1">
        <v>9</v>
      </c>
      <c r="O11" s="3">
        <f t="shared" si="2"/>
        <v>9</v>
      </c>
      <c r="P11" s="7">
        <f t="shared" si="3"/>
        <v>9.4500000000000011</v>
      </c>
      <c r="Q11" s="4"/>
    </row>
    <row r="12" spans="1:17" x14ac:dyDescent="0.35">
      <c r="A12" s="11" t="s">
        <v>42</v>
      </c>
      <c r="B12" s="12">
        <v>10</v>
      </c>
      <c r="C12" s="13">
        <v>20</v>
      </c>
      <c r="D12" s="14">
        <f t="shared" si="0"/>
        <v>21</v>
      </c>
      <c r="E12" s="4"/>
      <c r="G12" s="11" t="s">
        <v>44</v>
      </c>
      <c r="H12" s="12">
        <v>10</v>
      </c>
      <c r="I12" s="13">
        <f>C12*0.9</f>
        <v>18</v>
      </c>
      <c r="J12" s="14">
        <f t="shared" si="1"/>
        <v>18.900000000000002</v>
      </c>
      <c r="K12" s="4"/>
      <c r="M12" s="11" t="s">
        <v>45</v>
      </c>
      <c r="N12" s="12">
        <v>10</v>
      </c>
      <c r="O12" s="13">
        <f t="shared" si="2"/>
        <v>9</v>
      </c>
      <c r="P12" s="14">
        <f t="shared" si="3"/>
        <v>9.4500000000000011</v>
      </c>
      <c r="Q12" s="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DA79-D7F3-4471-8533-F2A6B5EF3DC3}">
  <sheetPr>
    <tabColor theme="0" tint="-0.14999847407452621"/>
  </sheetPr>
  <dimension ref="A1:E62"/>
  <sheetViews>
    <sheetView zoomScale="75" zoomScaleNormal="75" workbookViewId="0">
      <pane ySplit="2" topLeftCell="A3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13.54296875" bestFit="1" customWidth="1"/>
    <col min="2" max="2" width="19.6328125" bestFit="1" customWidth="1"/>
    <col min="3" max="3" width="5.90625" bestFit="1" customWidth="1"/>
    <col min="4" max="4" width="9.08984375" bestFit="1" customWidth="1"/>
    <col min="5" max="5" width="8.6328125" style="16" bestFit="1" customWidth="1"/>
  </cols>
  <sheetData>
    <row r="1" spans="1:5" x14ac:dyDescent="0.35">
      <c r="A1" s="27" t="s">
        <v>97</v>
      </c>
    </row>
    <row r="2" spans="1:5" x14ac:dyDescent="0.35">
      <c r="A2" s="21" t="s">
        <v>43</v>
      </c>
      <c r="B2" s="21" t="s">
        <v>46</v>
      </c>
      <c r="C2" s="21" t="s">
        <v>74</v>
      </c>
      <c r="D2" s="21" t="s">
        <v>65</v>
      </c>
      <c r="E2"/>
    </row>
    <row r="3" spans="1:5" x14ac:dyDescent="0.35">
      <c r="A3" s="6" t="s">
        <v>42</v>
      </c>
      <c r="B3" s="1">
        <v>1</v>
      </c>
      <c r="C3" s="1" t="s">
        <v>16</v>
      </c>
      <c r="D3" s="3">
        <v>100</v>
      </c>
      <c r="E3"/>
    </row>
    <row r="4" spans="1:5" x14ac:dyDescent="0.35">
      <c r="A4" s="6" t="s">
        <v>42</v>
      </c>
      <c r="B4" s="1">
        <v>1</v>
      </c>
      <c r="C4" s="1" t="s">
        <v>17</v>
      </c>
      <c r="D4" s="3">
        <v>105</v>
      </c>
      <c r="E4"/>
    </row>
    <row r="5" spans="1:5" x14ac:dyDescent="0.35">
      <c r="A5" s="6" t="s">
        <v>42</v>
      </c>
      <c r="B5" s="1">
        <v>2</v>
      </c>
      <c r="C5" s="1" t="s">
        <v>16</v>
      </c>
      <c r="D5" s="3">
        <v>100</v>
      </c>
      <c r="E5"/>
    </row>
    <row r="6" spans="1:5" x14ac:dyDescent="0.35">
      <c r="A6" s="6" t="s">
        <v>42</v>
      </c>
      <c r="B6" s="1">
        <v>2</v>
      </c>
      <c r="C6" s="1" t="s">
        <v>17</v>
      </c>
      <c r="D6" s="3">
        <v>105</v>
      </c>
      <c r="E6"/>
    </row>
    <row r="7" spans="1:5" x14ac:dyDescent="0.35">
      <c r="A7" s="6" t="s">
        <v>42</v>
      </c>
      <c r="B7" s="1">
        <v>3</v>
      </c>
      <c r="C7" s="1" t="s">
        <v>16</v>
      </c>
      <c r="D7" s="3">
        <v>80</v>
      </c>
      <c r="E7"/>
    </row>
    <row r="8" spans="1:5" x14ac:dyDescent="0.35">
      <c r="A8" s="6" t="s">
        <v>42</v>
      </c>
      <c r="B8" s="1">
        <v>3</v>
      </c>
      <c r="C8" s="1" t="s">
        <v>17</v>
      </c>
      <c r="D8" s="3">
        <v>84</v>
      </c>
      <c r="E8"/>
    </row>
    <row r="9" spans="1:5" x14ac:dyDescent="0.35">
      <c r="A9" s="1" t="s">
        <v>42</v>
      </c>
      <c r="B9" s="1">
        <v>4</v>
      </c>
      <c r="C9" s="1" t="s">
        <v>16</v>
      </c>
      <c r="D9" s="3">
        <v>80</v>
      </c>
      <c r="E9"/>
    </row>
    <row r="10" spans="1:5" x14ac:dyDescent="0.35">
      <c r="A10" s="15" t="s">
        <v>42</v>
      </c>
      <c r="B10" s="1">
        <v>4</v>
      </c>
      <c r="C10" s="1" t="s">
        <v>17</v>
      </c>
      <c r="D10" s="3">
        <v>84</v>
      </c>
      <c r="E10"/>
    </row>
    <row r="11" spans="1:5" x14ac:dyDescent="0.35">
      <c r="A11" s="15" t="s">
        <v>42</v>
      </c>
      <c r="B11" s="1">
        <v>5</v>
      </c>
      <c r="C11" s="1" t="s">
        <v>16</v>
      </c>
      <c r="D11" s="3">
        <v>60</v>
      </c>
      <c r="E11"/>
    </row>
    <row r="12" spans="1:5" x14ac:dyDescent="0.35">
      <c r="A12" s="15" t="s">
        <v>42</v>
      </c>
      <c r="B12" s="1">
        <v>5</v>
      </c>
      <c r="C12" s="1" t="s">
        <v>17</v>
      </c>
      <c r="D12" s="3">
        <v>63</v>
      </c>
      <c r="E12"/>
    </row>
    <row r="13" spans="1:5" x14ac:dyDescent="0.35">
      <c r="A13" s="15" t="s">
        <v>42</v>
      </c>
      <c r="B13" s="1">
        <v>6</v>
      </c>
      <c r="C13" s="1" t="s">
        <v>16</v>
      </c>
      <c r="D13" s="3">
        <v>60</v>
      </c>
      <c r="E13"/>
    </row>
    <row r="14" spans="1:5" x14ac:dyDescent="0.35">
      <c r="A14" s="15" t="s">
        <v>42</v>
      </c>
      <c r="B14" s="1">
        <v>6</v>
      </c>
      <c r="C14" s="1" t="s">
        <v>17</v>
      </c>
      <c r="D14" s="3">
        <v>63</v>
      </c>
      <c r="E14"/>
    </row>
    <row r="15" spans="1:5" x14ac:dyDescent="0.35">
      <c r="A15" s="15" t="s">
        <v>42</v>
      </c>
      <c r="B15" s="1">
        <v>7</v>
      </c>
      <c r="C15" s="1" t="s">
        <v>16</v>
      </c>
      <c r="D15" s="3">
        <v>40</v>
      </c>
      <c r="E15"/>
    </row>
    <row r="16" spans="1:5" x14ac:dyDescent="0.35">
      <c r="A16" s="15" t="s">
        <v>42</v>
      </c>
      <c r="B16" s="1">
        <v>7</v>
      </c>
      <c r="C16" s="1" t="s">
        <v>17</v>
      </c>
      <c r="D16" s="3">
        <v>42</v>
      </c>
      <c r="E16"/>
    </row>
    <row r="17" spans="1:5" x14ac:dyDescent="0.35">
      <c r="A17" s="15" t="s">
        <v>42</v>
      </c>
      <c r="B17" s="1">
        <v>8</v>
      </c>
      <c r="C17" s="1" t="s">
        <v>16</v>
      </c>
      <c r="D17" s="3">
        <v>40</v>
      </c>
      <c r="E17"/>
    </row>
    <row r="18" spans="1:5" x14ac:dyDescent="0.35">
      <c r="A18" s="15" t="s">
        <v>42</v>
      </c>
      <c r="B18" s="1">
        <v>8</v>
      </c>
      <c r="C18" s="1" t="s">
        <v>17</v>
      </c>
      <c r="D18" s="3">
        <v>42</v>
      </c>
      <c r="E18"/>
    </row>
    <row r="19" spans="1:5" x14ac:dyDescent="0.35">
      <c r="A19" s="15" t="s">
        <v>42</v>
      </c>
      <c r="B19" s="1">
        <v>9</v>
      </c>
      <c r="C19" s="1" t="s">
        <v>16</v>
      </c>
      <c r="D19" s="3">
        <v>20</v>
      </c>
      <c r="E19"/>
    </row>
    <row r="20" spans="1:5" x14ac:dyDescent="0.35">
      <c r="A20" s="15" t="s">
        <v>42</v>
      </c>
      <c r="B20" s="1">
        <v>9</v>
      </c>
      <c r="C20" s="1" t="s">
        <v>17</v>
      </c>
      <c r="D20" s="3">
        <v>21</v>
      </c>
      <c r="E20"/>
    </row>
    <row r="21" spans="1:5" x14ac:dyDescent="0.35">
      <c r="A21" s="15" t="s">
        <v>42</v>
      </c>
      <c r="B21" s="1">
        <v>10</v>
      </c>
      <c r="C21" s="1" t="s">
        <v>16</v>
      </c>
      <c r="D21" s="3">
        <v>20</v>
      </c>
      <c r="E21"/>
    </row>
    <row r="22" spans="1:5" x14ac:dyDescent="0.35">
      <c r="A22" s="15" t="s">
        <v>42</v>
      </c>
      <c r="B22" s="1">
        <v>10</v>
      </c>
      <c r="C22" s="1" t="s">
        <v>17</v>
      </c>
      <c r="D22" s="3">
        <v>21</v>
      </c>
      <c r="E22"/>
    </row>
    <row r="23" spans="1:5" x14ac:dyDescent="0.35">
      <c r="A23" s="15" t="s">
        <v>44</v>
      </c>
      <c r="B23" s="1">
        <v>1</v>
      </c>
      <c r="C23" s="1" t="s">
        <v>16</v>
      </c>
      <c r="D23" s="3">
        <v>90</v>
      </c>
      <c r="E23"/>
    </row>
    <row r="24" spans="1:5" x14ac:dyDescent="0.35">
      <c r="A24" s="15" t="s">
        <v>44</v>
      </c>
      <c r="B24" s="1">
        <v>1</v>
      </c>
      <c r="C24" s="1" t="s">
        <v>17</v>
      </c>
      <c r="D24" s="3">
        <v>94.5</v>
      </c>
      <c r="E24"/>
    </row>
    <row r="25" spans="1:5" x14ac:dyDescent="0.35">
      <c r="A25" s="15" t="s">
        <v>44</v>
      </c>
      <c r="B25" s="1">
        <v>2</v>
      </c>
      <c r="C25" s="1" t="s">
        <v>16</v>
      </c>
      <c r="D25" s="3">
        <v>90</v>
      </c>
      <c r="E25"/>
    </row>
    <row r="26" spans="1:5" x14ac:dyDescent="0.35">
      <c r="A26" s="15" t="s">
        <v>44</v>
      </c>
      <c r="B26" s="1">
        <v>2</v>
      </c>
      <c r="C26" s="1" t="s">
        <v>17</v>
      </c>
      <c r="D26" s="3">
        <v>94.5</v>
      </c>
      <c r="E26"/>
    </row>
    <row r="27" spans="1:5" x14ac:dyDescent="0.35">
      <c r="A27" s="15" t="s">
        <v>44</v>
      </c>
      <c r="B27" s="1">
        <v>3</v>
      </c>
      <c r="C27" s="1" t="s">
        <v>16</v>
      </c>
      <c r="D27" s="3">
        <v>72</v>
      </c>
      <c r="E27"/>
    </row>
    <row r="28" spans="1:5" x14ac:dyDescent="0.35">
      <c r="A28" s="15" t="s">
        <v>44</v>
      </c>
      <c r="B28" s="1">
        <v>3</v>
      </c>
      <c r="C28" s="1" t="s">
        <v>17</v>
      </c>
      <c r="D28" s="3">
        <v>75.599999999999994</v>
      </c>
      <c r="E28"/>
    </row>
    <row r="29" spans="1:5" x14ac:dyDescent="0.35">
      <c r="A29" s="15" t="s">
        <v>44</v>
      </c>
      <c r="B29" s="1">
        <v>4</v>
      </c>
      <c r="C29" s="1" t="s">
        <v>16</v>
      </c>
      <c r="D29" s="3">
        <v>72</v>
      </c>
      <c r="E29"/>
    </row>
    <row r="30" spans="1:5" x14ac:dyDescent="0.35">
      <c r="A30" s="15" t="s">
        <v>44</v>
      </c>
      <c r="B30" s="1">
        <v>4</v>
      </c>
      <c r="C30" s="1" t="s">
        <v>17</v>
      </c>
      <c r="D30" s="3">
        <v>75.599999999999994</v>
      </c>
      <c r="E30"/>
    </row>
    <row r="31" spans="1:5" x14ac:dyDescent="0.35">
      <c r="A31" s="15" t="s">
        <v>44</v>
      </c>
      <c r="B31" s="1">
        <v>5</v>
      </c>
      <c r="C31" s="1" t="s">
        <v>16</v>
      </c>
      <c r="D31" s="3">
        <v>54</v>
      </c>
      <c r="E31"/>
    </row>
    <row r="32" spans="1:5" x14ac:dyDescent="0.35">
      <c r="A32" s="15" t="s">
        <v>44</v>
      </c>
      <c r="B32" s="1">
        <v>5</v>
      </c>
      <c r="C32" s="1" t="s">
        <v>17</v>
      </c>
      <c r="D32" s="3">
        <v>56.7</v>
      </c>
      <c r="E32"/>
    </row>
    <row r="33" spans="1:5" x14ac:dyDescent="0.35">
      <c r="A33" s="15" t="s">
        <v>44</v>
      </c>
      <c r="B33" s="1">
        <v>6</v>
      </c>
      <c r="C33" s="1" t="s">
        <v>16</v>
      </c>
      <c r="D33" s="3">
        <v>54</v>
      </c>
      <c r="E33"/>
    </row>
    <row r="34" spans="1:5" x14ac:dyDescent="0.35">
      <c r="A34" s="15" t="s">
        <v>44</v>
      </c>
      <c r="B34" s="1">
        <v>6</v>
      </c>
      <c r="C34" s="1" t="s">
        <v>17</v>
      </c>
      <c r="D34" s="3">
        <v>56.7</v>
      </c>
      <c r="E34"/>
    </row>
    <row r="35" spans="1:5" x14ac:dyDescent="0.35">
      <c r="A35" s="15" t="s">
        <v>44</v>
      </c>
      <c r="B35" s="1">
        <v>7</v>
      </c>
      <c r="C35" s="1" t="s">
        <v>16</v>
      </c>
      <c r="D35" s="3">
        <v>36</v>
      </c>
      <c r="E35"/>
    </row>
    <row r="36" spans="1:5" x14ac:dyDescent="0.35">
      <c r="A36" s="15" t="s">
        <v>44</v>
      </c>
      <c r="B36" s="1">
        <v>7</v>
      </c>
      <c r="C36" s="1" t="s">
        <v>17</v>
      </c>
      <c r="D36" s="3">
        <v>37.799999999999997</v>
      </c>
      <c r="E36"/>
    </row>
    <row r="37" spans="1:5" x14ac:dyDescent="0.35">
      <c r="A37" s="15" t="s">
        <v>44</v>
      </c>
      <c r="B37" s="1">
        <v>8</v>
      </c>
      <c r="C37" s="1" t="s">
        <v>16</v>
      </c>
      <c r="D37" s="3">
        <v>36</v>
      </c>
      <c r="E37"/>
    </row>
    <row r="38" spans="1:5" x14ac:dyDescent="0.35">
      <c r="A38" s="15" t="s">
        <v>44</v>
      </c>
      <c r="B38" s="1">
        <v>8</v>
      </c>
      <c r="C38" s="1" t="s">
        <v>17</v>
      </c>
      <c r="D38" s="3">
        <v>37.799999999999997</v>
      </c>
      <c r="E38"/>
    </row>
    <row r="39" spans="1:5" x14ac:dyDescent="0.35">
      <c r="A39" s="15" t="s">
        <v>44</v>
      </c>
      <c r="B39" s="1">
        <v>9</v>
      </c>
      <c r="C39" s="1" t="s">
        <v>16</v>
      </c>
      <c r="D39" s="3">
        <v>18</v>
      </c>
      <c r="E39"/>
    </row>
    <row r="40" spans="1:5" x14ac:dyDescent="0.35">
      <c r="A40" s="15" t="s">
        <v>44</v>
      </c>
      <c r="B40" s="1">
        <v>9</v>
      </c>
      <c r="C40" s="1" t="s">
        <v>17</v>
      </c>
      <c r="D40" s="3">
        <v>18.899999999999999</v>
      </c>
      <c r="E40"/>
    </row>
    <row r="41" spans="1:5" x14ac:dyDescent="0.35">
      <c r="A41" s="15" t="s">
        <v>44</v>
      </c>
      <c r="B41" s="1">
        <v>10</v>
      </c>
      <c r="C41" s="1" t="s">
        <v>16</v>
      </c>
      <c r="D41" s="3">
        <v>18</v>
      </c>
      <c r="E41"/>
    </row>
    <row r="42" spans="1:5" x14ac:dyDescent="0.35">
      <c r="A42" s="15" t="s">
        <v>44</v>
      </c>
      <c r="B42" s="1">
        <v>10</v>
      </c>
      <c r="C42" s="1" t="s">
        <v>17</v>
      </c>
      <c r="D42" s="3">
        <v>18.899999999999999</v>
      </c>
      <c r="E42"/>
    </row>
    <row r="43" spans="1:5" x14ac:dyDescent="0.35">
      <c r="A43" s="15" t="s">
        <v>45</v>
      </c>
      <c r="B43" s="1">
        <v>1</v>
      </c>
      <c r="C43" s="1" t="s">
        <v>16</v>
      </c>
      <c r="D43" s="3">
        <v>45</v>
      </c>
      <c r="E43"/>
    </row>
    <row r="44" spans="1:5" x14ac:dyDescent="0.35">
      <c r="A44" s="15" t="s">
        <v>45</v>
      </c>
      <c r="B44" s="1">
        <v>1</v>
      </c>
      <c r="C44" s="1" t="s">
        <v>17</v>
      </c>
      <c r="D44" s="3">
        <v>47.25</v>
      </c>
      <c r="E44"/>
    </row>
    <row r="45" spans="1:5" x14ac:dyDescent="0.35">
      <c r="A45" s="15" t="s">
        <v>45</v>
      </c>
      <c r="B45" s="1">
        <v>2</v>
      </c>
      <c r="C45" s="1" t="s">
        <v>16</v>
      </c>
      <c r="D45" s="3">
        <v>45</v>
      </c>
      <c r="E45"/>
    </row>
    <row r="46" spans="1:5" x14ac:dyDescent="0.35">
      <c r="A46" s="15" t="s">
        <v>45</v>
      </c>
      <c r="B46" s="1">
        <v>2</v>
      </c>
      <c r="C46" s="1" t="s">
        <v>17</v>
      </c>
      <c r="D46" s="3">
        <v>47.25</v>
      </c>
      <c r="E46"/>
    </row>
    <row r="47" spans="1:5" x14ac:dyDescent="0.35">
      <c r="A47" s="15" t="s">
        <v>45</v>
      </c>
      <c r="B47" s="1">
        <v>3</v>
      </c>
      <c r="C47" s="1" t="s">
        <v>16</v>
      </c>
      <c r="D47" s="3">
        <v>36</v>
      </c>
      <c r="E47"/>
    </row>
    <row r="48" spans="1:5" x14ac:dyDescent="0.35">
      <c r="A48" s="15" t="s">
        <v>45</v>
      </c>
      <c r="B48" s="1">
        <v>3</v>
      </c>
      <c r="C48" s="1" t="s">
        <v>17</v>
      </c>
      <c r="D48" s="3">
        <v>37.799999999999997</v>
      </c>
      <c r="E48"/>
    </row>
    <row r="49" spans="1:5" x14ac:dyDescent="0.35">
      <c r="A49" s="15" t="s">
        <v>45</v>
      </c>
      <c r="B49" s="1">
        <v>4</v>
      </c>
      <c r="C49" s="1" t="s">
        <v>16</v>
      </c>
      <c r="D49" s="3">
        <v>36</v>
      </c>
      <c r="E49"/>
    </row>
    <row r="50" spans="1:5" x14ac:dyDescent="0.35">
      <c r="A50" s="15" t="s">
        <v>45</v>
      </c>
      <c r="B50" s="1">
        <v>4</v>
      </c>
      <c r="C50" s="1" t="s">
        <v>17</v>
      </c>
      <c r="D50" s="3">
        <v>37.799999999999997</v>
      </c>
      <c r="E50"/>
    </row>
    <row r="51" spans="1:5" x14ac:dyDescent="0.35">
      <c r="A51" s="15" t="s">
        <v>45</v>
      </c>
      <c r="B51" s="1">
        <v>5</v>
      </c>
      <c r="C51" s="1" t="s">
        <v>16</v>
      </c>
      <c r="D51" s="3">
        <v>27</v>
      </c>
      <c r="E51"/>
    </row>
    <row r="52" spans="1:5" x14ac:dyDescent="0.35">
      <c r="A52" s="15" t="s">
        <v>45</v>
      </c>
      <c r="B52" s="1">
        <v>5</v>
      </c>
      <c r="C52" s="1" t="s">
        <v>17</v>
      </c>
      <c r="D52" s="3">
        <v>28.35</v>
      </c>
      <c r="E52"/>
    </row>
    <row r="53" spans="1:5" x14ac:dyDescent="0.35">
      <c r="A53" s="15" t="s">
        <v>45</v>
      </c>
      <c r="B53" s="1">
        <v>6</v>
      </c>
      <c r="C53" s="1" t="s">
        <v>16</v>
      </c>
      <c r="D53" s="3">
        <v>27</v>
      </c>
      <c r="E53"/>
    </row>
    <row r="54" spans="1:5" x14ac:dyDescent="0.35">
      <c r="A54" s="15" t="s">
        <v>45</v>
      </c>
      <c r="B54" s="1">
        <v>6</v>
      </c>
      <c r="C54" s="1" t="s">
        <v>17</v>
      </c>
      <c r="D54" s="3">
        <v>28.35</v>
      </c>
      <c r="E54"/>
    </row>
    <row r="55" spans="1:5" x14ac:dyDescent="0.35">
      <c r="A55" s="15" t="s">
        <v>45</v>
      </c>
      <c r="B55" s="1">
        <v>7</v>
      </c>
      <c r="C55" s="1" t="s">
        <v>16</v>
      </c>
      <c r="D55" s="3">
        <v>18</v>
      </c>
      <c r="E55"/>
    </row>
    <row r="56" spans="1:5" x14ac:dyDescent="0.35">
      <c r="A56" s="15" t="s">
        <v>45</v>
      </c>
      <c r="B56" s="1">
        <v>7</v>
      </c>
      <c r="C56" s="1" t="s">
        <v>17</v>
      </c>
      <c r="D56" s="3">
        <v>18.899999999999999</v>
      </c>
      <c r="E56"/>
    </row>
    <row r="57" spans="1:5" x14ac:dyDescent="0.35">
      <c r="A57" s="15" t="s">
        <v>45</v>
      </c>
      <c r="B57" s="1">
        <v>8</v>
      </c>
      <c r="C57" s="1" t="s">
        <v>16</v>
      </c>
      <c r="D57" s="3">
        <v>18</v>
      </c>
      <c r="E57"/>
    </row>
    <row r="58" spans="1:5" x14ac:dyDescent="0.35">
      <c r="A58" s="15" t="s">
        <v>45</v>
      </c>
      <c r="B58" s="1">
        <v>8</v>
      </c>
      <c r="C58" s="1" t="s">
        <v>17</v>
      </c>
      <c r="D58" s="3">
        <v>18.899999999999999</v>
      </c>
      <c r="E58"/>
    </row>
    <row r="59" spans="1:5" x14ac:dyDescent="0.35">
      <c r="A59" s="15" t="s">
        <v>45</v>
      </c>
      <c r="B59" s="1">
        <v>9</v>
      </c>
      <c r="C59" s="1" t="s">
        <v>16</v>
      </c>
      <c r="D59" s="3">
        <v>9</v>
      </c>
      <c r="E59"/>
    </row>
    <row r="60" spans="1:5" x14ac:dyDescent="0.35">
      <c r="A60" s="15" t="s">
        <v>45</v>
      </c>
      <c r="B60" s="1">
        <v>9</v>
      </c>
      <c r="C60" s="1" t="s">
        <v>17</v>
      </c>
      <c r="D60" s="3">
        <v>9.4499999999999993</v>
      </c>
      <c r="E60"/>
    </row>
    <row r="61" spans="1:5" x14ac:dyDescent="0.35">
      <c r="A61" s="15" t="s">
        <v>45</v>
      </c>
      <c r="B61" s="1">
        <v>10</v>
      </c>
      <c r="C61" s="1" t="s">
        <v>16</v>
      </c>
      <c r="D61" s="3">
        <v>9</v>
      </c>
      <c r="E61"/>
    </row>
    <row r="62" spans="1:5" x14ac:dyDescent="0.35">
      <c r="A62" s="15" t="s">
        <v>45</v>
      </c>
      <c r="B62" s="1">
        <v>10</v>
      </c>
      <c r="C62" s="1" t="s">
        <v>17</v>
      </c>
      <c r="D62" s="3">
        <v>9.4499999999999993</v>
      </c>
      <c r="E6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081A-A9D5-4BDA-A5E1-C03240955734}">
  <sheetPr>
    <tabColor theme="0" tint="-0.14999847407452621"/>
  </sheetPr>
  <dimension ref="A1:C15"/>
  <sheetViews>
    <sheetView zoomScale="75" zoomScaleNormal="75" workbookViewId="0">
      <pane ySplit="2" topLeftCell="A3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14.90625" customWidth="1"/>
    <col min="2" max="2" width="13.6328125" customWidth="1"/>
    <col min="3" max="3" width="14.81640625" customWidth="1"/>
  </cols>
  <sheetData>
    <row r="1" spans="1:3" x14ac:dyDescent="0.35">
      <c r="A1" s="27" t="s">
        <v>98</v>
      </c>
    </row>
    <row r="2" spans="1:3" x14ac:dyDescent="0.35">
      <c r="A2" s="51" t="s">
        <v>0</v>
      </c>
      <c r="B2" s="52" t="s">
        <v>14</v>
      </c>
      <c r="C2" s="53" t="s">
        <v>15</v>
      </c>
    </row>
    <row r="3" spans="1:3" x14ac:dyDescent="0.35">
      <c r="A3" s="6" t="s">
        <v>1</v>
      </c>
      <c r="B3" s="2">
        <v>46207</v>
      </c>
      <c r="C3" s="50" t="s">
        <v>16</v>
      </c>
    </row>
    <row r="4" spans="1:3" x14ac:dyDescent="0.35">
      <c r="A4" s="6" t="s">
        <v>2</v>
      </c>
      <c r="B4" s="2">
        <f>B3+7</f>
        <v>46214</v>
      </c>
      <c r="C4" s="50" t="s">
        <v>16</v>
      </c>
    </row>
    <row r="5" spans="1:3" x14ac:dyDescent="0.35">
      <c r="A5" s="6" t="s">
        <v>3</v>
      </c>
      <c r="B5" s="2">
        <f t="shared" ref="B5:B15" si="0">B4+7</f>
        <v>46221</v>
      </c>
      <c r="C5" s="50" t="s">
        <v>16</v>
      </c>
    </row>
    <row r="6" spans="1:3" x14ac:dyDescent="0.35">
      <c r="A6" s="6" t="s">
        <v>4</v>
      </c>
      <c r="B6" s="2">
        <f t="shared" si="0"/>
        <v>46228</v>
      </c>
      <c r="C6" s="50" t="s">
        <v>16</v>
      </c>
    </row>
    <row r="7" spans="1:3" x14ac:dyDescent="0.35">
      <c r="A7" s="6" t="s">
        <v>5</v>
      </c>
      <c r="B7" s="2">
        <f t="shared" si="0"/>
        <v>46235</v>
      </c>
      <c r="C7" s="50" t="s">
        <v>17</v>
      </c>
    </row>
    <row r="8" spans="1:3" x14ac:dyDescent="0.35">
      <c r="A8" s="6" t="s">
        <v>6</v>
      </c>
      <c r="B8" s="2">
        <f t="shared" si="0"/>
        <v>46242</v>
      </c>
      <c r="C8" s="50" t="s">
        <v>17</v>
      </c>
    </row>
    <row r="9" spans="1:3" x14ac:dyDescent="0.35">
      <c r="A9" s="6" t="s">
        <v>7</v>
      </c>
      <c r="B9" s="2">
        <f t="shared" si="0"/>
        <v>46249</v>
      </c>
      <c r="C9" s="50" t="s">
        <v>17</v>
      </c>
    </row>
    <row r="10" spans="1:3" x14ac:dyDescent="0.35">
      <c r="A10" s="6" t="s">
        <v>8</v>
      </c>
      <c r="B10" s="2">
        <f t="shared" si="0"/>
        <v>46256</v>
      </c>
      <c r="C10" s="50" t="s">
        <v>17</v>
      </c>
    </row>
    <row r="11" spans="1:3" x14ac:dyDescent="0.35">
      <c r="A11" s="6" t="s">
        <v>9</v>
      </c>
      <c r="B11" s="2">
        <f t="shared" si="0"/>
        <v>46263</v>
      </c>
      <c r="C11" s="50" t="s">
        <v>17</v>
      </c>
    </row>
    <row r="12" spans="1:3" x14ac:dyDescent="0.35">
      <c r="A12" s="6" t="s">
        <v>10</v>
      </c>
      <c r="B12" s="2">
        <f t="shared" si="0"/>
        <v>46270</v>
      </c>
      <c r="C12" s="50" t="s">
        <v>17</v>
      </c>
    </row>
    <row r="13" spans="1:3" x14ac:dyDescent="0.35">
      <c r="A13" s="6" t="s">
        <v>11</v>
      </c>
      <c r="B13" s="2">
        <f t="shared" si="0"/>
        <v>46277</v>
      </c>
      <c r="C13" s="50" t="s">
        <v>17</v>
      </c>
    </row>
    <row r="14" spans="1:3" x14ac:dyDescent="0.35">
      <c r="A14" s="6" t="s">
        <v>12</v>
      </c>
      <c r="B14" s="2">
        <f t="shared" si="0"/>
        <v>46284</v>
      </c>
      <c r="C14" s="50" t="s">
        <v>17</v>
      </c>
    </row>
    <row r="15" spans="1:3" x14ac:dyDescent="0.35">
      <c r="A15" s="11" t="s">
        <v>13</v>
      </c>
      <c r="B15" s="49">
        <f t="shared" si="0"/>
        <v>46291</v>
      </c>
      <c r="C15" s="54" t="s">
        <v>17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56A9-74A9-47C7-B984-5190DEF3D492}">
  <sheetPr>
    <tabColor theme="0" tint="-0.14999847407452621"/>
  </sheetPr>
  <dimension ref="A1:C12"/>
  <sheetViews>
    <sheetView zoomScale="75" zoomScaleNormal="75" workbookViewId="0">
      <pane ySplit="2" topLeftCell="A3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13.81640625" bestFit="1" customWidth="1"/>
    <col min="2" max="2" width="16.81640625" bestFit="1" customWidth="1"/>
    <col min="3" max="3" width="15" bestFit="1" customWidth="1"/>
  </cols>
  <sheetData>
    <row r="1" spans="1:3" x14ac:dyDescent="0.35">
      <c r="A1" s="27" t="s">
        <v>99</v>
      </c>
      <c r="B1" s="26" t="s">
        <v>76</v>
      </c>
      <c r="C1" s="26" t="s">
        <v>76</v>
      </c>
    </row>
    <row r="2" spans="1:3" x14ac:dyDescent="0.35">
      <c r="A2" s="21" t="s">
        <v>72</v>
      </c>
      <c r="B2" s="21" t="s">
        <v>46</v>
      </c>
      <c r="C2" s="21" t="s">
        <v>64</v>
      </c>
    </row>
    <row r="3" spans="1:3" x14ac:dyDescent="0.35">
      <c r="A3" s="1" t="s">
        <v>47</v>
      </c>
      <c r="B3" s="1">
        <v>1</v>
      </c>
      <c r="C3" s="1" t="s">
        <v>18</v>
      </c>
    </row>
    <row r="4" spans="1:3" x14ac:dyDescent="0.35">
      <c r="A4" s="1" t="s">
        <v>47</v>
      </c>
      <c r="B4" s="1">
        <v>2</v>
      </c>
      <c r="C4" s="1" t="s">
        <v>19</v>
      </c>
    </row>
    <row r="5" spans="1:3" x14ac:dyDescent="0.35">
      <c r="A5" s="1" t="s">
        <v>48</v>
      </c>
      <c r="B5" s="1">
        <v>3</v>
      </c>
      <c r="C5" s="1" t="s">
        <v>20</v>
      </c>
    </row>
    <row r="6" spans="1:3" x14ac:dyDescent="0.35">
      <c r="A6" s="1" t="s">
        <v>48</v>
      </c>
      <c r="B6" s="1">
        <v>4</v>
      </c>
      <c r="C6" s="1" t="s">
        <v>21</v>
      </c>
    </row>
    <row r="7" spans="1:3" x14ac:dyDescent="0.35">
      <c r="A7" s="1" t="s">
        <v>49</v>
      </c>
      <c r="B7" s="1">
        <v>5</v>
      </c>
      <c r="C7" s="1" t="s">
        <v>22</v>
      </c>
    </row>
    <row r="8" spans="1:3" x14ac:dyDescent="0.35">
      <c r="A8" s="1" t="s">
        <v>49</v>
      </c>
      <c r="B8" s="1">
        <v>6</v>
      </c>
      <c r="C8" s="1" t="s">
        <v>23</v>
      </c>
    </row>
    <row r="9" spans="1:3" x14ac:dyDescent="0.35">
      <c r="A9" s="1" t="s">
        <v>50</v>
      </c>
      <c r="B9" s="1">
        <v>7</v>
      </c>
      <c r="C9" s="1" t="s">
        <v>24</v>
      </c>
    </row>
    <row r="10" spans="1:3" x14ac:dyDescent="0.35">
      <c r="A10" s="1" t="s">
        <v>50</v>
      </c>
      <c r="B10" s="1">
        <v>8</v>
      </c>
      <c r="C10" s="1" t="s">
        <v>25</v>
      </c>
    </row>
    <row r="11" spans="1:3" x14ac:dyDescent="0.35">
      <c r="A11" s="1" t="s">
        <v>51</v>
      </c>
      <c r="B11" s="1">
        <v>9</v>
      </c>
      <c r="C11" s="1" t="s">
        <v>26</v>
      </c>
    </row>
    <row r="12" spans="1:3" x14ac:dyDescent="0.35">
      <c r="A12" s="1" t="s">
        <v>51</v>
      </c>
      <c r="B12" s="1">
        <v>10</v>
      </c>
      <c r="C12" s="1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5091-7566-4C73-855F-13C978BE3D7C}">
  <sheetPr>
    <tabColor theme="0" tint="-0.14999847407452621"/>
  </sheetPr>
  <dimension ref="A1:B14"/>
  <sheetViews>
    <sheetView zoomScale="75" zoomScaleNormal="75" workbookViewId="0">
      <pane ySplit="2" topLeftCell="A3" activePane="bottomLeft" state="frozen"/>
      <selection activeCell="G31" sqref="G31"/>
      <selection pane="bottomLeft" activeCell="A2" sqref="A2"/>
    </sheetView>
  </sheetViews>
  <sheetFormatPr defaultRowHeight="14.5" x14ac:dyDescent="0.35"/>
  <cols>
    <col min="1" max="1" width="9.6328125" bestFit="1" customWidth="1"/>
    <col min="2" max="2" width="20.7265625" bestFit="1" customWidth="1"/>
  </cols>
  <sheetData>
    <row r="1" spans="1:2" x14ac:dyDescent="0.35">
      <c r="A1" s="27" t="s">
        <v>100</v>
      </c>
    </row>
    <row r="2" spans="1:2" x14ac:dyDescent="0.35">
      <c r="A2" s="21" t="s">
        <v>41</v>
      </c>
      <c r="B2" s="21" t="s">
        <v>40</v>
      </c>
    </row>
    <row r="3" spans="1:2" x14ac:dyDescent="0.35">
      <c r="A3" s="1" t="s">
        <v>52</v>
      </c>
      <c r="B3" s="1" t="s">
        <v>28</v>
      </c>
    </row>
    <row r="4" spans="1:2" x14ac:dyDescent="0.35">
      <c r="A4" s="1" t="s">
        <v>53</v>
      </c>
      <c r="B4" s="1" t="s">
        <v>29</v>
      </c>
    </row>
    <row r="5" spans="1:2" x14ac:dyDescent="0.35">
      <c r="A5" s="1" t="s">
        <v>54</v>
      </c>
      <c r="B5" s="1" t="s">
        <v>30</v>
      </c>
    </row>
    <row r="6" spans="1:2" x14ac:dyDescent="0.35">
      <c r="A6" s="1" t="s">
        <v>55</v>
      </c>
      <c r="B6" s="1" t="s">
        <v>31</v>
      </c>
    </row>
    <row r="7" spans="1:2" x14ac:dyDescent="0.35">
      <c r="A7" s="1" t="s">
        <v>56</v>
      </c>
      <c r="B7" s="1" t="s">
        <v>32</v>
      </c>
    </row>
    <row r="8" spans="1:2" x14ac:dyDescent="0.35">
      <c r="A8" s="1" t="s">
        <v>57</v>
      </c>
      <c r="B8" s="1" t="s">
        <v>33</v>
      </c>
    </row>
    <row r="9" spans="1:2" x14ac:dyDescent="0.35">
      <c r="A9" s="1" t="s">
        <v>58</v>
      </c>
      <c r="B9" s="1" t="s">
        <v>34</v>
      </c>
    </row>
    <row r="10" spans="1:2" x14ac:dyDescent="0.35">
      <c r="A10" s="1" t="s">
        <v>59</v>
      </c>
      <c r="B10" s="1" t="s">
        <v>35</v>
      </c>
    </row>
    <row r="11" spans="1:2" x14ac:dyDescent="0.35">
      <c r="A11" s="1" t="s">
        <v>60</v>
      </c>
      <c r="B11" s="1" t="s">
        <v>36</v>
      </c>
    </row>
    <row r="12" spans="1:2" x14ac:dyDescent="0.35">
      <c r="A12" s="1" t="s">
        <v>61</v>
      </c>
      <c r="B12" s="1" t="s">
        <v>37</v>
      </c>
    </row>
    <row r="13" spans="1:2" x14ac:dyDescent="0.35">
      <c r="A13" s="1" t="s">
        <v>62</v>
      </c>
      <c r="B13" s="1" t="s">
        <v>38</v>
      </c>
    </row>
    <row r="14" spans="1:2" x14ac:dyDescent="0.35">
      <c r="A14" s="1" t="s">
        <v>63</v>
      </c>
      <c r="B14" s="1" t="s">
        <v>39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5209C6-77D5-42F8-996D-2D2EDEF1D7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actuals</vt:lpstr>
      <vt:lpstr>input forecasts</vt:lpstr>
      <vt:lpstr>fact forecasts</vt:lpstr>
      <vt:lpstr>input rates</vt:lpstr>
      <vt:lpstr>dim rates</vt:lpstr>
      <vt:lpstr>dim dates</vt:lpstr>
      <vt:lpstr>dim employees</vt:lpstr>
      <vt:lpstr>dim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Sanderson</dc:creator>
  <cp:lastModifiedBy>Jack Sanderson</cp:lastModifiedBy>
  <dcterms:created xsi:type="dcterms:W3CDTF">2026-07-26T14:20:33Z</dcterms:created>
  <dcterms:modified xsi:type="dcterms:W3CDTF">2026-07-26T17:10:49Z</dcterms:modified>
</cp:coreProperties>
</file>